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ngzhang\Downloads\"/>
    </mc:Choice>
  </mc:AlternateContent>
  <xr:revisionPtr revIDLastSave="0" documentId="8_{E8D593C7-1B36-4E73-9AAA-2F6E35C68ADE}" xr6:coauthVersionLast="47" xr6:coauthVersionMax="47" xr10:uidLastSave="{00000000-0000-0000-0000-000000000000}"/>
  <bookViews>
    <workbookView xWindow="-88" yWindow="-13636" windowWidth="24267" windowHeight="13022" activeTab="2" xr2:uid="{00000000-000D-0000-FFFF-FFFF00000000}"/>
  </bookViews>
  <sheets>
    <sheet name="README" sheetId="1" r:id="rId1"/>
    <sheet name="Control" sheetId="2" r:id="rId2"/>
    <sheet name="Dividend_Data" sheetId="3" r:id="rId3"/>
  </sheets>
  <definedNames>
    <definedName name="DvdEnd">Control!$B$6</definedName>
    <definedName name="DvdField">Control!$B$4</definedName>
    <definedName name="DvdStart">Control!$B$5</definedName>
    <definedName name="TkrSuffix">Control!$B$3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I5" i="3" l="1"/>
  <c r="BU5" i="3"/>
  <c r="HQ5" i="3"/>
  <c r="IG5" i="3"/>
  <c r="A5" i="3"/>
  <c r="DI5" i="3"/>
  <c r="AG5" i="3"/>
  <c r="I5" i="3"/>
  <c r="BM5" i="3"/>
  <c r="EG5" i="3"/>
  <c r="HY5" i="3"/>
  <c r="AW5" i="3"/>
  <c r="Q5" i="3"/>
  <c r="HA5" i="3"/>
  <c r="CC5" i="3"/>
  <c r="GK5" i="3"/>
  <c r="FM5" i="3"/>
  <c r="FE5" i="3"/>
  <c r="FU5" i="3"/>
  <c r="BE5" i="3"/>
  <c r="DA5" i="3"/>
  <c r="AO5" i="3"/>
  <c r="Y5" i="3"/>
  <c r="GC5" i="3"/>
  <c r="DY5" i="3"/>
  <c r="GS5" i="3"/>
  <c r="CS5" i="3"/>
  <c r="DQ5" i="3"/>
  <c r="EW5" i="3"/>
  <c r="EO5" i="3"/>
  <c r="CK5" i="3"/>
  <c r="IG3" i="3"/>
  <c r="HY3" i="3"/>
  <c r="HQ3" i="3"/>
  <c r="HI3" i="3"/>
  <c r="HA3" i="3"/>
  <c r="GS3" i="3"/>
  <c r="GK3" i="3"/>
  <c r="GC3" i="3"/>
  <c r="FU3" i="3"/>
  <c r="FM3" i="3"/>
  <c r="FE3" i="3"/>
  <c r="EW3" i="3"/>
  <c r="EO3" i="3"/>
  <c r="EG3" i="3"/>
  <c r="DY3" i="3"/>
  <c r="DQ3" i="3"/>
  <c r="DI3" i="3"/>
  <c r="DA3" i="3"/>
  <c r="CS3" i="3"/>
  <c r="CK3" i="3"/>
  <c r="CC3" i="3"/>
  <c r="BU3" i="3"/>
  <c r="BM3" i="3"/>
  <c r="BE3" i="3"/>
  <c r="AW3" i="3"/>
  <c r="AO3" i="3"/>
  <c r="AG3" i="3"/>
  <c r="Y3" i="3"/>
  <c r="Q3" i="3"/>
  <c r="I3" i="3"/>
  <c r="A3" i="3"/>
  <c r="IG2" i="3"/>
  <c r="HY2" i="3"/>
  <c r="HQ2" i="3"/>
  <c r="HI2" i="3"/>
  <c r="HA2" i="3"/>
  <c r="GS2" i="3"/>
  <c r="GK2" i="3"/>
  <c r="GC2" i="3"/>
  <c r="FU2" i="3"/>
  <c r="FM2" i="3"/>
  <c r="FE2" i="3"/>
  <c r="EW2" i="3"/>
  <c r="EO2" i="3"/>
  <c r="EG2" i="3"/>
  <c r="DY2" i="3"/>
  <c r="DQ2" i="3"/>
  <c r="DI2" i="3"/>
  <c r="DA2" i="3"/>
  <c r="CS2" i="3"/>
  <c r="CK2" i="3"/>
  <c r="CC2" i="3"/>
  <c r="BU2" i="3"/>
  <c r="BM2" i="3"/>
  <c r="BE2" i="3"/>
  <c r="AW2" i="3"/>
  <c r="AO2" i="3"/>
  <c r="AG2" i="3"/>
  <c r="Y2" i="3"/>
  <c r="Q2" i="3"/>
  <c r="I2" i="3"/>
  <c r="A2" i="3"/>
  <c r="IG1" i="3"/>
  <c r="HY1" i="3"/>
  <c r="HQ1" i="3"/>
  <c r="HI1" i="3"/>
  <c r="HA1" i="3"/>
  <c r="GS1" i="3"/>
  <c r="GK1" i="3"/>
  <c r="GC1" i="3"/>
  <c r="FU1" i="3"/>
  <c r="FM1" i="3"/>
  <c r="FE1" i="3"/>
  <c r="EW1" i="3"/>
  <c r="EO1" i="3"/>
  <c r="EG1" i="3"/>
  <c r="DY1" i="3"/>
  <c r="DQ1" i="3"/>
  <c r="DI1" i="3"/>
  <c r="DA1" i="3"/>
  <c r="CS1" i="3"/>
  <c r="CK1" i="3"/>
  <c r="CC1" i="3"/>
  <c r="BU1" i="3"/>
  <c r="BM1" i="3"/>
  <c r="BE1" i="3"/>
  <c r="AW1" i="3"/>
  <c r="AO1" i="3"/>
  <c r="AG1" i="3"/>
  <c r="Y1" i="3"/>
  <c r="Q1" i="3"/>
  <c r="I1" i="3"/>
  <c r="A1" i="3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BDS anchor: spills DVD_HIST_ALL table. Filter on Dividend Type (splits appear here too). See README.</t>
        </r>
      </text>
    </comment>
  </commentList>
</comments>
</file>

<file path=xl/sharedStrings.xml><?xml version="1.0" encoding="utf-8"?>
<sst xmlns="http://schemas.openxmlformats.org/spreadsheetml/2006/main" count="2343" uniqueCount="132">
  <si>
    <t>README — Dividend history (Bloomberg BDS DVD_HIST_ALL)</t>
  </si>
  <si>
    <t>For human readers and AI models: read this sheet before using the data.</t>
  </si>
  <si>
    <t>Key</t>
  </si>
  <si>
    <t>Value</t>
  </si>
  <si>
    <t>content</t>
  </si>
  <si>
    <t>Full dividend/corporate-action history per security from Bloomberg DVD_HIST_ALL, 31 securities (27 stocks + SPY, QQQ, XLK, SMH).</t>
  </si>
  <si>
    <t>bloomberg_formula</t>
  </si>
  <si>
    <t>columns</t>
  </si>
  <si>
    <t>Declared Date | Ex-Date | Record Date | Payable Date | Dividend Amount | Dividend Frequency | Dividend Type</t>
  </si>
  <si>
    <t>dividend_announcement_date</t>
  </si>
  <si>
    <t>IMPORTANT_dividend_type</t>
  </si>
  <si>
    <t>DVD_HIST_ALL includes ALL dividend-type corporate actions, not only cash dividends. Rows can include stock splits, spin-offs, special cash, return of capital, etc. ALWAYS filter on the 'Dividend Type' column before summing or computing yield. For stock splits the 'Dividend Amount' is a split ratio, not a cash amount.</t>
  </si>
  <si>
    <t>ETF_distributions</t>
  </si>
  <si>
    <t>SPY/QQQ/XLK/SMH rows are fund distributions (may include income and capital-gain distributions, labelled by Dividend Type).</t>
  </si>
  <si>
    <t>amount_basis</t>
  </si>
  <si>
    <t>Per-share amount as declared at the time; treat as NOT back-adjusted for later splits unless verified on the terminal. Check before building a continuous per-share dividend series across splits (e.g. NVDA, AAPL, AVGO, GOOGL).</t>
  </si>
  <si>
    <t>non_payers</t>
  </si>
  <si>
    <t>Expected no regular cash dividends over the window: AMZN, TSLA, PLTR, MSTR, COIN, HOOD, SHOP, SMCI, NFLX, AMD, ADBE, NOW (flagged on Control col E). Their blocks may be EMPTY (#N/A-type result) or show only non-cash rows such as stock splits. An empty block is expected, NOT a failed pull.</t>
  </si>
  <si>
    <t>late_initiators</t>
  </si>
  <si>
    <t>META and GOOGL initiated dividends in 2024, CRM in 2024 — history starts there.</t>
  </si>
  <si>
    <t>row_order</t>
  </si>
  <si>
    <t>As returned by Bloomberg (not re-sorted).</t>
  </si>
  <si>
    <t>currency</t>
  </si>
  <si>
    <t>Amount currency as returned by Bloomberg per row; TSM is the NYSE ADR (check USD vs TWD and ADR ratio).</t>
  </si>
  <si>
    <t>layout</t>
  </si>
  <si>
    <t>Data sheet: row 1 ticker, row 2 Bloomberg security, row 3 payer flag, row 4 headers, data from row 5; 7 columns + 1 spacer per security. Rows NOT aligned across securities.</t>
  </si>
  <si>
    <t>source</t>
  </si>
  <si>
    <t>Bloomberg BDS via Excel add-in</t>
  </si>
  <si>
    <t>Dividend History Pull — Control Panel</t>
  </si>
  <si>
    <t>Yellow cells are inputs (blue text).</t>
  </si>
  <si>
    <t>Ticker suffix</t>
  </si>
  <si>
    <t xml:space="preserve"> US Equity</t>
  </si>
  <si>
    <t>Leading space.</t>
  </si>
  <si>
    <t>BDS field</t>
  </si>
  <si>
    <t>DVD_HIST_ALL</t>
  </si>
  <si>
    <t>Override: start</t>
  </si>
  <si>
    <t>DVD_START_DT=20100101</t>
  </si>
  <si>
    <t>Keep the 'DVD_START_DT=' prefix; change the date only.</t>
  </si>
  <si>
    <t>Override: end</t>
  </si>
  <si>
    <t>DVD_END_DT=20261231</t>
  </si>
  <si>
    <t>Keep the 'DVD_END_DT=' prefix.</t>
  </si>
  <si>
    <t>Security list</t>
  </si>
  <si>
    <t>#</t>
  </si>
  <si>
    <t>Ticker</t>
  </si>
  <si>
    <t>Bloomberg security</t>
  </si>
  <si>
    <t>Block col</t>
  </si>
  <si>
    <t>Regular cash dividend payer?</t>
  </si>
  <si>
    <t>SPY</t>
  </si>
  <si>
    <t>A</t>
  </si>
  <si>
    <t>YES - ETF distributions</t>
  </si>
  <si>
    <t>QQQ</t>
  </si>
  <si>
    <t>I</t>
  </si>
  <si>
    <t>XLK</t>
  </si>
  <si>
    <t>Q</t>
  </si>
  <si>
    <t>SMH</t>
  </si>
  <si>
    <t>Y</t>
  </si>
  <si>
    <t>AAPL</t>
  </si>
  <si>
    <t>AG</t>
  </si>
  <si>
    <t>YES</t>
  </si>
  <si>
    <t>AMZN</t>
  </si>
  <si>
    <t>AO</t>
  </si>
  <si>
    <t>NO - expected empty / non-cash rows only</t>
  </si>
  <si>
    <t>GOOGL</t>
  </si>
  <si>
    <t>AW</t>
  </si>
  <si>
    <t>META</t>
  </si>
  <si>
    <t>BE</t>
  </si>
  <si>
    <t>MSFT</t>
  </si>
  <si>
    <t>BM</t>
  </si>
  <si>
    <t>NFLX</t>
  </si>
  <si>
    <t>BU</t>
  </si>
  <si>
    <t>NVDA</t>
  </si>
  <si>
    <t>CC</t>
  </si>
  <si>
    <t>PLTR</t>
  </si>
  <si>
    <t>CK</t>
  </si>
  <si>
    <t>TSLA</t>
  </si>
  <si>
    <t>CS</t>
  </si>
  <si>
    <t>TSM</t>
  </si>
  <si>
    <t>DA</t>
  </si>
  <si>
    <t>AVGO</t>
  </si>
  <si>
    <t>DI</t>
  </si>
  <si>
    <t>AMD</t>
  </si>
  <si>
    <t>DQ</t>
  </si>
  <si>
    <t>MU</t>
  </si>
  <si>
    <t>DY</t>
  </si>
  <si>
    <t>MSTR</t>
  </si>
  <si>
    <t>EG</t>
  </si>
  <si>
    <t>COIN</t>
  </si>
  <si>
    <t>EO</t>
  </si>
  <si>
    <t>HOOD</t>
  </si>
  <si>
    <t>EW</t>
  </si>
  <si>
    <t>SHOP</t>
  </si>
  <si>
    <t>FE</t>
  </si>
  <si>
    <t>SMCI</t>
  </si>
  <si>
    <t>FM</t>
  </si>
  <si>
    <t>ORCL</t>
  </si>
  <si>
    <t>FU</t>
  </si>
  <si>
    <t>CRM</t>
  </si>
  <si>
    <t>GC</t>
  </si>
  <si>
    <t>ADBE</t>
  </si>
  <si>
    <t>GK</t>
  </si>
  <si>
    <t>NOW</t>
  </si>
  <si>
    <t>GS</t>
  </si>
  <si>
    <t>LLY</t>
  </si>
  <si>
    <t>HA</t>
  </si>
  <si>
    <t>UNH</t>
  </si>
  <si>
    <t>HI</t>
  </si>
  <si>
    <t>JPM</t>
  </si>
  <si>
    <t>HQ</t>
  </si>
  <si>
    <t>COST</t>
  </si>
  <si>
    <t>HY</t>
  </si>
  <si>
    <t>XOM</t>
  </si>
  <si>
    <t>IG</t>
  </si>
  <si>
    <t>Declared Date</t>
  </si>
  <si>
    <t>Ex-Date</t>
  </si>
  <si>
    <t>Record Date</t>
  </si>
  <si>
    <t>Payable Date</t>
  </si>
  <si>
    <t>Dividend Amount</t>
  </si>
  <si>
    <t>Dividend Frequency</t>
  </si>
  <si>
    <t>Dividend Type</t>
  </si>
  <si>
    <t>Quarter</t>
  </si>
  <si>
    <t>Regular Cash</t>
  </si>
  <si>
    <t>None</t>
  </si>
  <si>
    <t>Stock Split</t>
  </si>
  <si>
    <t>Income</t>
  </si>
  <si>
    <t>Special Cash</t>
  </si>
  <si>
    <t>#N/A N/A</t>
  </si>
  <si>
    <t>Annual</t>
  </si>
  <si>
    <t>Omitted</t>
  </si>
  <si>
    <t>In-specie</t>
  </si>
  <si>
    <t>Stock Dividend</t>
  </si>
  <si>
    <t>Poison Pill Rights</t>
  </si>
  <si>
    <t>Split-Off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</si>
</sst>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0000"/>
      <name val="Arial"/>
    </font>
    <font>
      <i/>
      <sz val="9"/>
      <name val="Arial"/>
    </font>
    <font>
      <sz val="10"/>
      <color rgb="FF0000FF"/>
      <name val="Arial"/>
    </font>
    <font>
      <sz val="9"/>
      <color rgb="FF595959"/>
      <name val="Arial"/>
    </font>
    <font>
      <sz val="9"/>
      <color rgb="FF008000"/>
      <name val="Arial"/>
    </font>
    <font>
      <b/>
      <sz val="8"/>
      <color rgb="FF595959"/>
      <name val="Arial"/>
    </font>
    <font>
      <b/>
      <sz val="8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4" fillId="0" borderId="0" xfId="0" applyFont="1"/>
    <xf numFmtId="0" fontId="8" fillId="3" borderId="1" xfId="0" applyFont="1" applyFill="1" applyBorder="1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4" borderId="1" xfId="0" applyFont="1" applyFill="1" applyBorder="1"/>
    <xf numFmtId="0" fontId="10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/>
    <xf numFmtId="14" fontId="5" fillId="0" borderId="0" xfId="0" applyNumberFormat="1" applyFont="1"/>
    <xf numFmtId="14" fontId="0" fillId="0" borderId="0" xfId="0" applyNumberFormat="1"/>
    <xf numFmtId="0" fontId="11" fillId="0" borderId="0" xfId="0" applyFont="1"/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BDS|14731482490710728362</stp>
        <tr r="BE5" s="3"/>
      </tp>
      <tp t="e">
        <v>#N/A</v>
        <stp/>
        <stp>BDS|16070398313279031635</stp>
        <tr r="DA5" s="3"/>
      </tp>
      <tp t="e">
        <v>#N/A</v>
        <stp/>
        <stp>BDS|17153062508164966883</stp>
        <tr r="CC5" s="3"/>
      </tp>
      <tp t="e">
        <v>#N/A</v>
        <stp/>
        <stp>BDS|17417418248228945765</stp>
        <tr r="Q5" s="3"/>
      </tp>
      <tp t="e">
        <v>#N/A</v>
        <stp/>
        <stp>BDS|16292426186304700721</stp>
        <tr r="HI5" s="3"/>
      </tp>
      <tp t="e">
        <v>#N/A</v>
        <stp/>
        <stp>BDS|13947197154226193829</stp>
        <tr r="CS5" s="3"/>
      </tp>
      <tp t="e">
        <v>#N/A</v>
        <stp/>
        <stp>BDS|15175411099920699718</stp>
        <tr r="I5" s="3"/>
      </tp>
      <tp t="e">
        <v>#N/A</v>
        <stp/>
        <stp>BDS|15063639915350499022</stp>
        <tr r="Y5" s="3"/>
      </tp>
      <tp t="e">
        <v>#N/A</v>
        <stp/>
        <stp>BDS|11882261423899386854</stp>
        <tr r="HY5" s="3"/>
      </tp>
      <tp t="e">
        <v>#N/A</v>
        <stp/>
        <stp>BDS|17219366548341789164</stp>
        <tr r="HA5" s="3"/>
      </tp>
      <tp t="e">
        <v>#N/A</v>
        <stp/>
        <stp>BDS|16415537112613466108</stp>
        <tr r="AO5" s="3"/>
      </tp>
      <tp t="e">
        <v>#N/A</v>
        <stp/>
        <stp>BDS|12633239725641864438</stp>
        <tr r="DQ5" s="3"/>
      </tp>
      <tp t="e">
        <v>#N/A</v>
        <stp/>
        <stp>BDS|12486514955296003137</stp>
        <tr r="DI5" s="3"/>
      </tp>
    </main>
    <main first="bofaddin.rtdserver">
      <tp t="e">
        <v>#N/A</v>
        <stp/>
        <stp>BDS|6821774513528206488</stp>
        <tr r="IG5" s="3"/>
      </tp>
      <tp t="e">
        <v>#N/A</v>
        <stp/>
        <stp>BDS|9836871453399643459</stp>
        <tr r="FM5" s="3"/>
      </tp>
      <tp t="e">
        <v>#N/A</v>
        <stp/>
        <stp>BDS|3486202358917284770</stp>
        <tr r="GS5" s="3"/>
      </tp>
      <tp t="e">
        <v>#N/A</v>
        <stp/>
        <stp>BDS|4612950983301161021</stp>
        <tr r="A5" s="3"/>
      </tp>
      <tp t="e">
        <v>#N/A</v>
        <stp/>
        <stp>BDS|7455656754993874234</stp>
        <tr r="BU5" s="3"/>
      </tp>
      <tp t="e">
        <v>#N/A</v>
        <stp/>
        <stp>BDS|5070020573057995077</stp>
        <tr r="BM5" s="3"/>
      </tp>
      <tp t="e">
        <v>#N/A</v>
        <stp/>
        <stp>BDS|9944847844667795781</stp>
        <tr r="GC5" s="3"/>
      </tp>
      <tp t="e">
        <v>#N/A</v>
        <stp/>
        <stp>BDS|3836928691216497303</stp>
        <tr r="DY5" s="3"/>
      </tp>
      <tp t="e">
        <v>#N/A</v>
        <stp/>
        <stp>BDS|7891370029779026923</stp>
        <tr r="EO5" s="3"/>
      </tp>
      <tp t="e">
        <v>#N/A</v>
        <stp/>
        <stp>BDS|7576686427921649595</stp>
        <tr r="FE5" s="3"/>
      </tp>
      <tp t="e">
        <v>#N/A</v>
        <stp/>
        <stp>BDS|9932827000764756567</stp>
        <tr r="HQ5" s="3"/>
      </tp>
      <tp t="e">
        <v>#N/A</v>
        <stp/>
        <stp>BDS|7809302349014036684</stp>
        <tr r="EW5" s="3"/>
      </tp>
      <tp t="e">
        <v>#N/A</v>
        <stp/>
        <stp>BDS|4487479862276189222</stp>
        <tr r="CK5" s="3"/>
      </tp>
      <tp t="e">
        <v>#N/A</v>
        <stp/>
        <stp>BDS|3850411171493064016</stp>
        <tr r="AW5" s="3"/>
      </tp>
      <tp t="e">
        <v>#N/A</v>
        <stp/>
        <stp>BDS|44094372184387713</stp>
        <tr r="AG5" s="3"/>
      </tp>
      <tp t="e">
        <v>#N/A</v>
        <stp/>
        <stp>BDS|309342221517703769</stp>
        <tr r="FU5" s="3"/>
      </tp>
      <tp t="e">
        <v>#N/A</v>
        <stp/>
        <stp>BDS|144060193662134911</stp>
        <tr r="GK5" s="3"/>
      </tp>
      <tp t="e">
        <v>#N/A</v>
        <stp/>
        <stp>BDS|759047698941878665</stp>
        <tr r="EG5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5.05" x14ac:dyDescent="0.3"/>
  <cols>
    <col min="1" max="1" width="22" customWidth="1"/>
    <col min="2" max="2" width="120" customWidth="1"/>
  </cols>
  <sheetData>
    <row r="1" spans="1:2" ht="17.55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3" t="s">
        <v>3</v>
      </c>
    </row>
    <row r="5" spans="1:2" x14ac:dyDescent="0.3">
      <c r="A5" s="4" t="s">
        <v>4</v>
      </c>
      <c r="B5" s="5" t="s">
        <v>5</v>
      </c>
    </row>
    <row r="6" spans="1:2" x14ac:dyDescent="0.3">
      <c r="A6" s="4" t="s">
        <v>6</v>
      </c>
      <c r="B6" s="5" t="e">
        <f>_xll.BDS(security,"DVD_HIST_ALL","DVD_START_DT=20100101","DVD_END_DT=20261231") — dates on Control!B5:B6</f>
        <v>#NAME?</v>
      </c>
    </row>
    <row r="7" spans="1:2" x14ac:dyDescent="0.3">
      <c r="A7" s="4" t="s">
        <v>7</v>
      </c>
      <c r="B7" s="5" t="s">
        <v>8</v>
      </c>
    </row>
    <row r="8" spans="1:2" ht="26.3" x14ac:dyDescent="0.3">
      <c r="A8" s="4" t="s">
        <v>9</v>
      </c>
      <c r="B8" s="5"/>
    </row>
    <row r="9" spans="1:2" ht="39.450000000000003" x14ac:dyDescent="0.3">
      <c r="A9" s="4" t="s">
        <v>10</v>
      </c>
      <c r="B9" s="6" t="s">
        <v>11</v>
      </c>
    </row>
    <row r="10" spans="1:2" x14ac:dyDescent="0.3">
      <c r="A10" s="4" t="s">
        <v>12</v>
      </c>
      <c r="B10" s="5" t="s">
        <v>13</v>
      </c>
    </row>
    <row r="11" spans="1:2" ht="25.05" x14ac:dyDescent="0.3">
      <c r="A11" s="4" t="s">
        <v>14</v>
      </c>
      <c r="B11" s="5" t="s">
        <v>15</v>
      </c>
    </row>
    <row r="12" spans="1:2" ht="39.450000000000003" x14ac:dyDescent="0.3">
      <c r="A12" s="4" t="s">
        <v>16</v>
      </c>
      <c r="B12" s="6" t="s">
        <v>17</v>
      </c>
    </row>
    <row r="13" spans="1:2" x14ac:dyDescent="0.3">
      <c r="A13" s="4" t="s">
        <v>18</v>
      </c>
      <c r="B13" s="5" t="s">
        <v>19</v>
      </c>
    </row>
    <row r="14" spans="1:2" x14ac:dyDescent="0.3">
      <c r="A14" s="4" t="s">
        <v>20</v>
      </c>
      <c r="B14" s="5" t="s">
        <v>21</v>
      </c>
    </row>
    <row r="15" spans="1:2" x14ac:dyDescent="0.3">
      <c r="A15" s="4" t="s">
        <v>22</v>
      </c>
      <c r="B15" s="5" t="s">
        <v>23</v>
      </c>
    </row>
    <row r="16" spans="1:2" ht="25.05" x14ac:dyDescent="0.3">
      <c r="A16" s="4" t="s">
        <v>24</v>
      </c>
      <c r="B16" s="5" t="s">
        <v>25</v>
      </c>
    </row>
    <row r="17" spans="1:2" x14ac:dyDescent="0.3">
      <c r="A17" s="4" t="s">
        <v>26</v>
      </c>
      <c r="B17" s="5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/>
  </sheetViews>
  <sheetFormatPr defaultRowHeight="15.05" x14ac:dyDescent="0.3"/>
  <cols>
    <col min="1" max="1" width="16" customWidth="1"/>
    <col min="2" max="2" width="26" customWidth="1"/>
    <col min="3" max="3" width="24" customWidth="1"/>
    <col min="4" max="4" width="10" customWidth="1"/>
    <col min="5" max="5" width="40" customWidth="1"/>
  </cols>
  <sheetData>
    <row r="1" spans="1:5" ht="17.55" x14ac:dyDescent="0.3">
      <c r="A1" s="1" t="s">
        <v>28</v>
      </c>
    </row>
    <row r="2" spans="1:5" x14ac:dyDescent="0.3">
      <c r="A2" s="7" t="s">
        <v>29</v>
      </c>
    </row>
    <row r="3" spans="1:5" x14ac:dyDescent="0.3">
      <c r="A3" s="8" t="s">
        <v>30</v>
      </c>
      <c r="B3" s="9" t="s">
        <v>31</v>
      </c>
      <c r="C3" s="10" t="s">
        <v>32</v>
      </c>
    </row>
    <row r="4" spans="1:5" x14ac:dyDescent="0.3">
      <c r="A4" s="8" t="s">
        <v>33</v>
      </c>
      <c r="B4" s="9" t="s">
        <v>34</v>
      </c>
      <c r="C4" s="10"/>
    </row>
    <row r="5" spans="1:5" x14ac:dyDescent="0.3">
      <c r="A5" s="8" t="s">
        <v>35</v>
      </c>
      <c r="B5" s="9" t="s">
        <v>36</v>
      </c>
      <c r="C5" s="10" t="s">
        <v>37</v>
      </c>
    </row>
    <row r="6" spans="1:5" x14ac:dyDescent="0.3">
      <c r="A6" s="8" t="s">
        <v>38</v>
      </c>
      <c r="B6" s="9" t="s">
        <v>39</v>
      </c>
      <c r="C6" s="10" t="s">
        <v>40</v>
      </c>
    </row>
    <row r="9" spans="1:5" ht="17.55" x14ac:dyDescent="0.3">
      <c r="A9" s="1" t="s">
        <v>41</v>
      </c>
    </row>
    <row r="10" spans="1:5" x14ac:dyDescent="0.3">
      <c r="A10" s="11" t="s">
        <v>42</v>
      </c>
      <c r="B10" s="11" t="s">
        <v>43</v>
      </c>
      <c r="C10" s="11" t="s">
        <v>44</v>
      </c>
      <c r="D10" s="11" t="s">
        <v>45</v>
      </c>
      <c r="E10" s="11" t="s">
        <v>46</v>
      </c>
    </row>
    <row r="11" spans="1:5" x14ac:dyDescent="0.3">
      <c r="A11" s="12">
        <v>1</v>
      </c>
      <c r="B11" s="9" t="s">
        <v>47</v>
      </c>
      <c r="C11" s="12" t="str">
        <f t="shared" ref="C11:C41" si="0">B11&amp;TkrSuffix</f>
        <v>SPY US Equity</v>
      </c>
      <c r="D11" s="12" t="s">
        <v>48</v>
      </c>
      <c r="E11" s="12" t="s">
        <v>49</v>
      </c>
    </row>
    <row r="12" spans="1:5" x14ac:dyDescent="0.3">
      <c r="A12" s="12">
        <v>2</v>
      </c>
      <c r="B12" s="9" t="s">
        <v>50</v>
      </c>
      <c r="C12" s="12" t="str">
        <f t="shared" si="0"/>
        <v>QQQ US Equity</v>
      </c>
      <c r="D12" s="12" t="s">
        <v>51</v>
      </c>
      <c r="E12" s="12" t="s">
        <v>49</v>
      </c>
    </row>
    <row r="13" spans="1:5" x14ac:dyDescent="0.3">
      <c r="A13" s="12">
        <v>3</v>
      </c>
      <c r="B13" s="9" t="s">
        <v>52</v>
      </c>
      <c r="C13" s="12" t="str">
        <f t="shared" si="0"/>
        <v>XLK US Equity</v>
      </c>
      <c r="D13" s="12" t="s">
        <v>53</v>
      </c>
      <c r="E13" s="12" t="s">
        <v>49</v>
      </c>
    </row>
    <row r="14" spans="1:5" x14ac:dyDescent="0.3">
      <c r="A14" s="12">
        <v>4</v>
      </c>
      <c r="B14" s="9" t="s">
        <v>54</v>
      </c>
      <c r="C14" s="12" t="str">
        <f t="shared" si="0"/>
        <v>SMH US Equity</v>
      </c>
      <c r="D14" s="12" t="s">
        <v>55</v>
      </c>
      <c r="E14" s="12" t="s">
        <v>49</v>
      </c>
    </row>
    <row r="15" spans="1:5" x14ac:dyDescent="0.3">
      <c r="A15" s="12">
        <v>5</v>
      </c>
      <c r="B15" s="9" t="s">
        <v>56</v>
      </c>
      <c r="C15" s="12" t="str">
        <f t="shared" si="0"/>
        <v>AAPL US Equity</v>
      </c>
      <c r="D15" s="12" t="s">
        <v>57</v>
      </c>
      <c r="E15" s="12" t="s">
        <v>58</v>
      </c>
    </row>
    <row r="16" spans="1:5" x14ac:dyDescent="0.3">
      <c r="A16" s="12">
        <v>6</v>
      </c>
      <c r="B16" s="9" t="s">
        <v>59</v>
      </c>
      <c r="C16" s="12" t="str">
        <f t="shared" si="0"/>
        <v>AMZN US Equity</v>
      </c>
      <c r="D16" s="12" t="s">
        <v>60</v>
      </c>
      <c r="E16" s="13" t="s">
        <v>61</v>
      </c>
    </row>
    <row r="17" spans="1:5" x14ac:dyDescent="0.3">
      <c r="A17" s="12">
        <v>7</v>
      </c>
      <c r="B17" s="9" t="s">
        <v>62</v>
      </c>
      <c r="C17" s="12" t="str">
        <f t="shared" si="0"/>
        <v>GOOGL US Equity</v>
      </c>
      <c r="D17" s="12" t="s">
        <v>63</v>
      </c>
      <c r="E17" s="12" t="s">
        <v>58</v>
      </c>
    </row>
    <row r="18" spans="1:5" x14ac:dyDescent="0.3">
      <c r="A18" s="12">
        <v>8</v>
      </c>
      <c r="B18" s="9" t="s">
        <v>64</v>
      </c>
      <c r="C18" s="12" t="str">
        <f t="shared" si="0"/>
        <v>META US Equity</v>
      </c>
      <c r="D18" s="12" t="s">
        <v>65</v>
      </c>
      <c r="E18" s="12" t="s">
        <v>58</v>
      </c>
    </row>
    <row r="19" spans="1:5" x14ac:dyDescent="0.3">
      <c r="A19" s="12">
        <v>9</v>
      </c>
      <c r="B19" s="9" t="s">
        <v>66</v>
      </c>
      <c r="C19" s="12" t="str">
        <f t="shared" si="0"/>
        <v>MSFT US Equity</v>
      </c>
      <c r="D19" s="12" t="s">
        <v>67</v>
      </c>
      <c r="E19" s="12" t="s">
        <v>58</v>
      </c>
    </row>
    <row r="20" spans="1:5" x14ac:dyDescent="0.3">
      <c r="A20" s="12">
        <v>10</v>
      </c>
      <c r="B20" s="9" t="s">
        <v>68</v>
      </c>
      <c r="C20" s="12" t="str">
        <f t="shared" si="0"/>
        <v>NFLX US Equity</v>
      </c>
      <c r="D20" s="12" t="s">
        <v>69</v>
      </c>
      <c r="E20" s="13" t="s">
        <v>61</v>
      </c>
    </row>
    <row r="21" spans="1:5" x14ac:dyDescent="0.3">
      <c r="A21" s="12">
        <v>11</v>
      </c>
      <c r="B21" s="9" t="s">
        <v>70</v>
      </c>
      <c r="C21" s="12" t="str">
        <f t="shared" si="0"/>
        <v>NVDA US Equity</v>
      </c>
      <c r="D21" s="12" t="s">
        <v>71</v>
      </c>
      <c r="E21" s="12" t="s">
        <v>58</v>
      </c>
    </row>
    <row r="22" spans="1:5" x14ac:dyDescent="0.3">
      <c r="A22" s="12">
        <v>12</v>
      </c>
      <c r="B22" s="9" t="s">
        <v>72</v>
      </c>
      <c r="C22" s="12" t="str">
        <f t="shared" si="0"/>
        <v>PLTR US Equity</v>
      </c>
      <c r="D22" s="12" t="s">
        <v>73</v>
      </c>
      <c r="E22" s="13" t="s">
        <v>61</v>
      </c>
    </row>
    <row r="23" spans="1:5" x14ac:dyDescent="0.3">
      <c r="A23" s="12">
        <v>13</v>
      </c>
      <c r="B23" s="9" t="s">
        <v>74</v>
      </c>
      <c r="C23" s="12" t="str">
        <f t="shared" si="0"/>
        <v>TSLA US Equity</v>
      </c>
      <c r="D23" s="12" t="s">
        <v>75</v>
      </c>
      <c r="E23" s="13" t="s">
        <v>61</v>
      </c>
    </row>
    <row r="24" spans="1:5" x14ac:dyDescent="0.3">
      <c r="A24" s="12">
        <v>14</v>
      </c>
      <c r="B24" s="9" t="s">
        <v>76</v>
      </c>
      <c r="C24" s="12" t="str">
        <f t="shared" si="0"/>
        <v>TSM US Equity</v>
      </c>
      <c r="D24" s="12" t="s">
        <v>77</v>
      </c>
      <c r="E24" s="12" t="s">
        <v>58</v>
      </c>
    </row>
    <row r="25" spans="1:5" x14ac:dyDescent="0.3">
      <c r="A25" s="12">
        <v>15</v>
      </c>
      <c r="B25" s="9" t="s">
        <v>78</v>
      </c>
      <c r="C25" s="12" t="str">
        <f t="shared" si="0"/>
        <v>AVGO US Equity</v>
      </c>
      <c r="D25" s="12" t="s">
        <v>79</v>
      </c>
      <c r="E25" s="12" t="s">
        <v>58</v>
      </c>
    </row>
    <row r="26" spans="1:5" x14ac:dyDescent="0.3">
      <c r="A26" s="12">
        <v>16</v>
      </c>
      <c r="B26" s="9" t="s">
        <v>80</v>
      </c>
      <c r="C26" s="12" t="str">
        <f t="shared" si="0"/>
        <v>AMD US Equity</v>
      </c>
      <c r="D26" s="12" t="s">
        <v>81</v>
      </c>
      <c r="E26" s="13" t="s">
        <v>61</v>
      </c>
    </row>
    <row r="27" spans="1:5" x14ac:dyDescent="0.3">
      <c r="A27" s="12">
        <v>17</v>
      </c>
      <c r="B27" s="9" t="s">
        <v>82</v>
      </c>
      <c r="C27" s="12" t="str">
        <f t="shared" si="0"/>
        <v>MU US Equity</v>
      </c>
      <c r="D27" s="12" t="s">
        <v>83</v>
      </c>
      <c r="E27" s="12" t="s">
        <v>58</v>
      </c>
    </row>
    <row r="28" spans="1:5" x14ac:dyDescent="0.3">
      <c r="A28" s="12">
        <v>18</v>
      </c>
      <c r="B28" s="9" t="s">
        <v>84</v>
      </c>
      <c r="C28" s="12" t="str">
        <f t="shared" si="0"/>
        <v>MSTR US Equity</v>
      </c>
      <c r="D28" s="12" t="s">
        <v>85</v>
      </c>
      <c r="E28" s="13" t="s">
        <v>61</v>
      </c>
    </row>
    <row r="29" spans="1:5" x14ac:dyDescent="0.3">
      <c r="A29" s="12">
        <v>19</v>
      </c>
      <c r="B29" s="9" t="s">
        <v>86</v>
      </c>
      <c r="C29" s="12" t="str">
        <f t="shared" si="0"/>
        <v>COIN US Equity</v>
      </c>
      <c r="D29" s="12" t="s">
        <v>87</v>
      </c>
      <c r="E29" s="13" t="s">
        <v>61</v>
      </c>
    </row>
    <row r="30" spans="1:5" x14ac:dyDescent="0.3">
      <c r="A30" s="12">
        <v>20</v>
      </c>
      <c r="B30" s="9" t="s">
        <v>88</v>
      </c>
      <c r="C30" s="12" t="str">
        <f t="shared" si="0"/>
        <v>HOOD US Equity</v>
      </c>
      <c r="D30" s="12" t="s">
        <v>89</v>
      </c>
      <c r="E30" s="13" t="s">
        <v>61</v>
      </c>
    </row>
    <row r="31" spans="1:5" x14ac:dyDescent="0.3">
      <c r="A31" s="12">
        <v>21</v>
      </c>
      <c r="B31" s="9" t="s">
        <v>90</v>
      </c>
      <c r="C31" s="12" t="str">
        <f t="shared" si="0"/>
        <v>SHOP US Equity</v>
      </c>
      <c r="D31" s="12" t="s">
        <v>91</v>
      </c>
      <c r="E31" s="13" t="s">
        <v>61</v>
      </c>
    </row>
    <row r="32" spans="1:5" x14ac:dyDescent="0.3">
      <c r="A32" s="12">
        <v>22</v>
      </c>
      <c r="B32" s="9" t="s">
        <v>92</v>
      </c>
      <c r="C32" s="12" t="str">
        <f t="shared" si="0"/>
        <v>SMCI US Equity</v>
      </c>
      <c r="D32" s="12" t="s">
        <v>93</v>
      </c>
      <c r="E32" s="13" t="s">
        <v>61</v>
      </c>
    </row>
    <row r="33" spans="1:5" x14ac:dyDescent="0.3">
      <c r="A33" s="12">
        <v>23</v>
      </c>
      <c r="B33" s="9" t="s">
        <v>94</v>
      </c>
      <c r="C33" s="12" t="str">
        <f t="shared" si="0"/>
        <v>ORCL US Equity</v>
      </c>
      <c r="D33" s="12" t="s">
        <v>95</v>
      </c>
      <c r="E33" s="12" t="s">
        <v>58</v>
      </c>
    </row>
    <row r="34" spans="1:5" x14ac:dyDescent="0.3">
      <c r="A34" s="12">
        <v>24</v>
      </c>
      <c r="B34" s="9" t="s">
        <v>96</v>
      </c>
      <c r="C34" s="12" t="str">
        <f t="shared" si="0"/>
        <v>CRM US Equity</v>
      </c>
      <c r="D34" s="12" t="s">
        <v>97</v>
      </c>
      <c r="E34" s="12" t="s">
        <v>58</v>
      </c>
    </row>
    <row r="35" spans="1:5" x14ac:dyDescent="0.3">
      <c r="A35" s="12">
        <v>25</v>
      </c>
      <c r="B35" s="9" t="s">
        <v>98</v>
      </c>
      <c r="C35" s="12" t="str">
        <f t="shared" si="0"/>
        <v>ADBE US Equity</v>
      </c>
      <c r="D35" s="12" t="s">
        <v>99</v>
      </c>
      <c r="E35" s="13" t="s">
        <v>61</v>
      </c>
    </row>
    <row r="36" spans="1:5" x14ac:dyDescent="0.3">
      <c r="A36" s="12">
        <v>26</v>
      </c>
      <c r="B36" s="9" t="s">
        <v>100</v>
      </c>
      <c r="C36" s="12" t="str">
        <f t="shared" si="0"/>
        <v>NOW US Equity</v>
      </c>
      <c r="D36" s="12" t="s">
        <v>101</v>
      </c>
      <c r="E36" s="13" t="s">
        <v>61</v>
      </c>
    </row>
    <row r="37" spans="1:5" x14ac:dyDescent="0.3">
      <c r="A37" s="12">
        <v>27</v>
      </c>
      <c r="B37" s="9" t="s">
        <v>102</v>
      </c>
      <c r="C37" s="12" t="str">
        <f t="shared" si="0"/>
        <v>LLY US Equity</v>
      </c>
      <c r="D37" s="12" t="s">
        <v>103</v>
      </c>
      <c r="E37" s="12" t="s">
        <v>58</v>
      </c>
    </row>
    <row r="38" spans="1:5" x14ac:dyDescent="0.3">
      <c r="A38" s="12">
        <v>28</v>
      </c>
      <c r="B38" s="9" t="s">
        <v>104</v>
      </c>
      <c r="C38" s="12" t="str">
        <f t="shared" si="0"/>
        <v>UNH US Equity</v>
      </c>
      <c r="D38" s="12" t="s">
        <v>105</v>
      </c>
      <c r="E38" s="12" t="s">
        <v>58</v>
      </c>
    </row>
    <row r="39" spans="1:5" x14ac:dyDescent="0.3">
      <c r="A39" s="12">
        <v>29</v>
      </c>
      <c r="B39" s="9" t="s">
        <v>106</v>
      </c>
      <c r="C39" s="12" t="str">
        <f t="shared" si="0"/>
        <v>JPM US Equity</v>
      </c>
      <c r="D39" s="12" t="s">
        <v>107</v>
      </c>
      <c r="E39" s="12" t="s">
        <v>58</v>
      </c>
    </row>
    <row r="40" spans="1:5" x14ac:dyDescent="0.3">
      <c r="A40" s="12">
        <v>30</v>
      </c>
      <c r="B40" s="9" t="s">
        <v>108</v>
      </c>
      <c r="C40" s="12" t="str">
        <f t="shared" si="0"/>
        <v>COST US Equity</v>
      </c>
      <c r="D40" s="12" t="s">
        <v>109</v>
      </c>
      <c r="E40" s="12" t="s">
        <v>58</v>
      </c>
    </row>
    <row r="41" spans="1:5" x14ac:dyDescent="0.3">
      <c r="A41" s="12">
        <v>31</v>
      </c>
      <c r="B41" s="9" t="s">
        <v>110</v>
      </c>
      <c r="C41" s="12" t="str">
        <f t="shared" si="0"/>
        <v>XOM US Equity</v>
      </c>
      <c r="D41" s="12" t="s">
        <v>111</v>
      </c>
      <c r="E41" s="12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M76"/>
  <sheetViews>
    <sheetView tabSelected="1" workbookViewId="0">
      <pane ySplit="4" topLeftCell="A5" activePane="bottomLeft" state="frozen"/>
      <selection pane="bottomLeft" activeCell="FA12" sqref="FA12"/>
    </sheetView>
  </sheetViews>
  <sheetFormatPr defaultRowHeight="15.05" x14ac:dyDescent="0.3"/>
  <cols>
    <col min="1" max="4" width="11" customWidth="1"/>
    <col min="5" max="7" width="12" customWidth="1"/>
    <col min="8" max="8" width="2" customWidth="1"/>
    <col min="9" max="12" width="11" customWidth="1"/>
    <col min="13" max="15" width="12" customWidth="1"/>
    <col min="16" max="16" width="2" customWidth="1"/>
    <col min="17" max="20" width="11" customWidth="1"/>
    <col min="21" max="23" width="12" customWidth="1"/>
    <col min="24" max="24" width="2" customWidth="1"/>
    <col min="25" max="28" width="11" customWidth="1"/>
    <col min="29" max="31" width="12" customWidth="1"/>
    <col min="32" max="32" width="2" customWidth="1"/>
    <col min="33" max="36" width="11" customWidth="1"/>
    <col min="37" max="39" width="12" customWidth="1"/>
    <col min="40" max="40" width="2" customWidth="1"/>
    <col min="41" max="44" width="11" customWidth="1"/>
    <col min="45" max="47" width="12" customWidth="1"/>
    <col min="48" max="48" width="2" customWidth="1"/>
    <col min="49" max="52" width="11" customWidth="1"/>
    <col min="53" max="55" width="12" customWidth="1"/>
    <col min="56" max="56" width="2" customWidth="1"/>
    <col min="57" max="60" width="11" customWidth="1"/>
    <col min="61" max="63" width="12" customWidth="1"/>
    <col min="64" max="64" width="2" customWidth="1"/>
    <col min="65" max="68" width="11" customWidth="1"/>
    <col min="69" max="71" width="12" customWidth="1"/>
    <col min="72" max="72" width="2" customWidth="1"/>
    <col min="73" max="76" width="11" customWidth="1"/>
    <col min="77" max="79" width="12" customWidth="1"/>
    <col min="80" max="80" width="2" customWidth="1"/>
    <col min="81" max="84" width="11" customWidth="1"/>
    <col min="85" max="87" width="12" customWidth="1"/>
    <col min="88" max="88" width="2" customWidth="1"/>
    <col min="89" max="92" width="11" customWidth="1"/>
    <col min="93" max="95" width="12" customWidth="1"/>
    <col min="96" max="96" width="2" customWidth="1"/>
    <col min="97" max="100" width="11" customWidth="1"/>
    <col min="101" max="103" width="12" customWidth="1"/>
    <col min="104" max="104" width="2" customWidth="1"/>
    <col min="105" max="108" width="11" customWidth="1"/>
    <col min="109" max="111" width="12" customWidth="1"/>
    <col min="112" max="112" width="2" customWidth="1"/>
    <col min="113" max="116" width="11" customWidth="1"/>
    <col min="117" max="119" width="12" customWidth="1"/>
    <col min="120" max="120" width="2" customWidth="1"/>
    <col min="121" max="124" width="11" customWidth="1"/>
    <col min="125" max="127" width="12" customWidth="1"/>
    <col min="128" max="128" width="2" customWidth="1"/>
    <col min="129" max="132" width="11" customWidth="1"/>
    <col min="133" max="135" width="12" customWidth="1"/>
    <col min="136" max="136" width="2" customWidth="1"/>
    <col min="137" max="140" width="11" customWidth="1"/>
    <col min="141" max="143" width="12" customWidth="1"/>
    <col min="144" max="144" width="2" customWidth="1"/>
    <col min="145" max="148" width="11" customWidth="1"/>
    <col min="149" max="151" width="12" customWidth="1"/>
    <col min="152" max="152" width="2" customWidth="1"/>
    <col min="153" max="156" width="11" customWidth="1"/>
    <col min="157" max="159" width="12" customWidth="1"/>
    <col min="160" max="160" width="2" customWidth="1"/>
    <col min="161" max="164" width="11" customWidth="1"/>
    <col min="165" max="167" width="12" customWidth="1"/>
    <col min="168" max="168" width="2" customWidth="1"/>
    <col min="169" max="172" width="11" customWidth="1"/>
    <col min="173" max="175" width="12" customWidth="1"/>
    <col min="176" max="176" width="2" customWidth="1"/>
    <col min="177" max="180" width="11" customWidth="1"/>
    <col min="181" max="183" width="12" customWidth="1"/>
    <col min="184" max="184" width="2" customWidth="1"/>
    <col min="185" max="188" width="11" customWidth="1"/>
    <col min="189" max="191" width="12" customWidth="1"/>
    <col min="192" max="192" width="2" customWidth="1"/>
    <col min="193" max="196" width="11" customWidth="1"/>
    <col min="197" max="199" width="12" customWidth="1"/>
    <col min="200" max="200" width="2" customWidth="1"/>
    <col min="201" max="204" width="11" customWidth="1"/>
    <col min="205" max="207" width="12" customWidth="1"/>
    <col min="208" max="208" width="2" customWidth="1"/>
    <col min="209" max="212" width="11" customWidth="1"/>
    <col min="213" max="215" width="12" customWidth="1"/>
    <col min="216" max="216" width="2" customWidth="1"/>
    <col min="217" max="220" width="11" customWidth="1"/>
    <col min="221" max="223" width="12" customWidth="1"/>
    <col min="224" max="224" width="2" customWidth="1"/>
    <col min="225" max="228" width="11" customWidth="1"/>
    <col min="229" max="231" width="12" customWidth="1"/>
    <col min="232" max="232" width="2" customWidth="1"/>
    <col min="233" max="236" width="11" customWidth="1"/>
    <col min="237" max="239" width="12" customWidth="1"/>
    <col min="240" max="240" width="2" customWidth="1"/>
    <col min="241" max="244" width="11" customWidth="1"/>
    <col min="245" max="247" width="12" customWidth="1"/>
    <col min="248" max="248" width="2" customWidth="1"/>
  </cols>
  <sheetData>
    <row r="1" spans="1:247" x14ac:dyDescent="0.3">
      <c r="A1" s="21" t="str">
        <f>Control!$B$11</f>
        <v>SPY</v>
      </c>
      <c r="B1" s="20"/>
      <c r="C1" s="20"/>
      <c r="D1" s="20"/>
      <c r="E1" s="20"/>
      <c r="F1" s="20"/>
      <c r="G1" s="20"/>
      <c r="I1" s="21" t="str">
        <f>Control!$B$12</f>
        <v>QQQ</v>
      </c>
      <c r="J1" s="20"/>
      <c r="K1" s="20"/>
      <c r="L1" s="20"/>
      <c r="M1" s="20"/>
      <c r="N1" s="20"/>
      <c r="O1" s="20"/>
      <c r="Q1" s="21" t="str">
        <f>Control!$B$13</f>
        <v>XLK</v>
      </c>
      <c r="R1" s="20"/>
      <c r="S1" s="20"/>
      <c r="T1" s="20"/>
      <c r="U1" s="20"/>
      <c r="V1" s="20"/>
      <c r="W1" s="20"/>
      <c r="Y1" s="21" t="str">
        <f>Control!$B$14</f>
        <v>SMH</v>
      </c>
      <c r="Z1" s="20"/>
      <c r="AA1" s="20"/>
      <c r="AB1" s="20"/>
      <c r="AC1" s="20"/>
      <c r="AD1" s="20"/>
      <c r="AE1" s="20"/>
      <c r="AG1" s="21" t="str">
        <f>Control!$B$15</f>
        <v>AAPL</v>
      </c>
      <c r="AH1" s="20"/>
      <c r="AI1" s="20"/>
      <c r="AJ1" s="20"/>
      <c r="AK1" s="20"/>
      <c r="AL1" s="20"/>
      <c r="AM1" s="20"/>
      <c r="AO1" s="21" t="str">
        <f>Control!$B$16</f>
        <v>AMZN</v>
      </c>
      <c r="AP1" s="20"/>
      <c r="AQ1" s="20"/>
      <c r="AR1" s="20"/>
      <c r="AS1" s="20"/>
      <c r="AT1" s="20"/>
      <c r="AU1" s="20"/>
      <c r="AW1" s="21" t="str">
        <f>Control!$B$17</f>
        <v>GOOGL</v>
      </c>
      <c r="AX1" s="20"/>
      <c r="AY1" s="20"/>
      <c r="AZ1" s="20"/>
      <c r="BA1" s="20"/>
      <c r="BB1" s="20"/>
      <c r="BC1" s="20"/>
      <c r="BE1" s="21" t="str">
        <f>Control!$B$18</f>
        <v>META</v>
      </c>
      <c r="BF1" s="20"/>
      <c r="BG1" s="20"/>
      <c r="BH1" s="20"/>
      <c r="BI1" s="20"/>
      <c r="BJ1" s="20"/>
      <c r="BK1" s="20"/>
      <c r="BM1" s="21" t="str">
        <f>Control!$B$19</f>
        <v>MSFT</v>
      </c>
      <c r="BN1" s="20"/>
      <c r="BO1" s="20"/>
      <c r="BP1" s="20"/>
      <c r="BQ1" s="20"/>
      <c r="BR1" s="20"/>
      <c r="BS1" s="20"/>
      <c r="BU1" s="21" t="str">
        <f>Control!$B$20</f>
        <v>NFLX</v>
      </c>
      <c r="BV1" s="20"/>
      <c r="BW1" s="20"/>
      <c r="BX1" s="20"/>
      <c r="BY1" s="20"/>
      <c r="BZ1" s="20"/>
      <c r="CA1" s="20"/>
      <c r="CC1" s="21" t="str">
        <f>Control!$B$21</f>
        <v>NVDA</v>
      </c>
      <c r="CD1" s="20"/>
      <c r="CE1" s="20"/>
      <c r="CF1" s="20"/>
      <c r="CG1" s="20"/>
      <c r="CH1" s="20"/>
      <c r="CI1" s="20"/>
      <c r="CK1" s="21" t="str">
        <f>Control!$B$22</f>
        <v>PLTR</v>
      </c>
      <c r="CL1" s="20"/>
      <c r="CM1" s="20"/>
      <c r="CN1" s="20"/>
      <c r="CO1" s="20"/>
      <c r="CP1" s="20"/>
      <c r="CQ1" s="20"/>
      <c r="CS1" s="21" t="str">
        <f>Control!$B$23</f>
        <v>TSLA</v>
      </c>
      <c r="CT1" s="20"/>
      <c r="CU1" s="20"/>
      <c r="CV1" s="20"/>
      <c r="CW1" s="20"/>
      <c r="CX1" s="20"/>
      <c r="CY1" s="20"/>
      <c r="DA1" s="21" t="str">
        <f>Control!$B$24</f>
        <v>TSM</v>
      </c>
      <c r="DB1" s="20"/>
      <c r="DC1" s="20"/>
      <c r="DD1" s="20"/>
      <c r="DE1" s="20"/>
      <c r="DF1" s="20"/>
      <c r="DG1" s="20"/>
      <c r="DI1" s="21" t="str">
        <f>Control!$B$25</f>
        <v>AVGO</v>
      </c>
      <c r="DJ1" s="20"/>
      <c r="DK1" s="20"/>
      <c r="DL1" s="20"/>
      <c r="DM1" s="20"/>
      <c r="DN1" s="20"/>
      <c r="DO1" s="20"/>
      <c r="DQ1" s="21" t="str">
        <f>Control!$B$26</f>
        <v>AMD</v>
      </c>
      <c r="DR1" s="20"/>
      <c r="DS1" s="20"/>
      <c r="DT1" s="20"/>
      <c r="DU1" s="20"/>
      <c r="DV1" s="20"/>
      <c r="DW1" s="20"/>
      <c r="DY1" s="21" t="str">
        <f>Control!$B$27</f>
        <v>MU</v>
      </c>
      <c r="DZ1" s="20"/>
      <c r="EA1" s="20"/>
      <c r="EB1" s="20"/>
      <c r="EC1" s="20"/>
      <c r="ED1" s="20"/>
      <c r="EE1" s="20"/>
      <c r="EG1" s="21" t="str">
        <f>Control!$B$28</f>
        <v>MSTR</v>
      </c>
      <c r="EH1" s="20"/>
      <c r="EI1" s="20"/>
      <c r="EJ1" s="20"/>
      <c r="EK1" s="20"/>
      <c r="EL1" s="20"/>
      <c r="EM1" s="20"/>
      <c r="EO1" s="21" t="str">
        <f>Control!$B$29</f>
        <v>COIN</v>
      </c>
      <c r="EP1" s="20"/>
      <c r="EQ1" s="20"/>
      <c r="ER1" s="20"/>
      <c r="ES1" s="20"/>
      <c r="ET1" s="20"/>
      <c r="EU1" s="20"/>
      <c r="EW1" s="21" t="str">
        <f>Control!$B$30</f>
        <v>HOOD</v>
      </c>
      <c r="EX1" s="20"/>
      <c r="EY1" s="20"/>
      <c r="EZ1" s="20"/>
      <c r="FA1" s="20"/>
      <c r="FB1" s="20"/>
      <c r="FC1" s="20"/>
      <c r="FE1" s="21" t="str">
        <f>Control!$B$31</f>
        <v>SHOP</v>
      </c>
      <c r="FF1" s="20"/>
      <c r="FG1" s="20"/>
      <c r="FH1" s="20"/>
      <c r="FI1" s="20"/>
      <c r="FJ1" s="20"/>
      <c r="FK1" s="20"/>
      <c r="FM1" s="21" t="str">
        <f>Control!$B$32</f>
        <v>SMCI</v>
      </c>
      <c r="FN1" s="20"/>
      <c r="FO1" s="20"/>
      <c r="FP1" s="20"/>
      <c r="FQ1" s="20"/>
      <c r="FR1" s="20"/>
      <c r="FS1" s="20"/>
      <c r="FU1" s="21" t="str">
        <f>Control!$B$33</f>
        <v>ORCL</v>
      </c>
      <c r="FV1" s="20"/>
      <c r="FW1" s="20"/>
      <c r="FX1" s="20"/>
      <c r="FY1" s="20"/>
      <c r="FZ1" s="20"/>
      <c r="GA1" s="20"/>
      <c r="GC1" s="21" t="str">
        <f>Control!$B$34</f>
        <v>CRM</v>
      </c>
      <c r="GD1" s="20"/>
      <c r="GE1" s="20"/>
      <c r="GF1" s="20"/>
      <c r="GG1" s="20"/>
      <c r="GH1" s="20"/>
      <c r="GI1" s="20"/>
      <c r="GK1" s="21" t="str">
        <f>Control!$B$35</f>
        <v>ADBE</v>
      </c>
      <c r="GL1" s="20"/>
      <c r="GM1" s="20"/>
      <c r="GN1" s="20"/>
      <c r="GO1" s="20"/>
      <c r="GP1" s="20"/>
      <c r="GQ1" s="20"/>
      <c r="GS1" s="21" t="str">
        <f>Control!$B$36</f>
        <v>NOW</v>
      </c>
      <c r="GT1" s="20"/>
      <c r="GU1" s="20"/>
      <c r="GV1" s="20"/>
      <c r="GW1" s="20"/>
      <c r="GX1" s="20"/>
      <c r="GY1" s="20"/>
      <c r="HA1" s="21" t="str">
        <f>Control!$B$37</f>
        <v>LLY</v>
      </c>
      <c r="HB1" s="20"/>
      <c r="HC1" s="20"/>
      <c r="HD1" s="20"/>
      <c r="HE1" s="20"/>
      <c r="HF1" s="20"/>
      <c r="HG1" s="20"/>
      <c r="HI1" s="21" t="str">
        <f>Control!$B$38</f>
        <v>UNH</v>
      </c>
      <c r="HJ1" s="20"/>
      <c r="HK1" s="20"/>
      <c r="HL1" s="20"/>
      <c r="HM1" s="20"/>
      <c r="HN1" s="20"/>
      <c r="HO1" s="20"/>
      <c r="HQ1" s="21" t="str">
        <f>Control!$B$39</f>
        <v>JPM</v>
      </c>
      <c r="HR1" s="20"/>
      <c r="HS1" s="20"/>
      <c r="HT1" s="20"/>
      <c r="HU1" s="20"/>
      <c r="HV1" s="20"/>
      <c r="HW1" s="20"/>
      <c r="HY1" s="21" t="str">
        <f>Control!$B$40</f>
        <v>COST</v>
      </c>
      <c r="HZ1" s="20"/>
      <c r="IA1" s="20"/>
      <c r="IB1" s="20"/>
      <c r="IC1" s="20"/>
      <c r="ID1" s="20"/>
      <c r="IE1" s="20"/>
      <c r="IG1" s="21" t="str">
        <f>Control!$B$41</f>
        <v>XOM</v>
      </c>
      <c r="IH1" s="20"/>
      <c r="II1" s="20"/>
      <c r="IJ1" s="20"/>
      <c r="IK1" s="20"/>
      <c r="IL1" s="20"/>
      <c r="IM1" s="20"/>
    </row>
    <row r="2" spans="1:247" x14ac:dyDescent="0.3">
      <c r="A2" s="14" t="str">
        <f>Control!$C$11</f>
        <v>SPY US Equity</v>
      </c>
      <c r="I2" s="14" t="str">
        <f>Control!$C$12</f>
        <v>QQQ US Equity</v>
      </c>
      <c r="Q2" s="14" t="str">
        <f>Control!$C$13</f>
        <v>XLK US Equity</v>
      </c>
      <c r="Y2" s="14" t="str">
        <f>Control!$C$14</f>
        <v>SMH US Equity</v>
      </c>
      <c r="AG2" s="14" t="str">
        <f>Control!$C$15</f>
        <v>AAPL US Equity</v>
      </c>
      <c r="AO2" s="14" t="str">
        <f>Control!$C$16</f>
        <v>AMZN US Equity</v>
      </c>
      <c r="AW2" s="14" t="str">
        <f>Control!$C$17</f>
        <v>GOOGL US Equity</v>
      </c>
      <c r="BE2" s="14" t="str">
        <f>Control!$C$18</f>
        <v>META US Equity</v>
      </c>
      <c r="BM2" s="14" t="str">
        <f>Control!$C$19</f>
        <v>MSFT US Equity</v>
      </c>
      <c r="BU2" s="14" t="str">
        <f>Control!$C$20</f>
        <v>NFLX US Equity</v>
      </c>
      <c r="CC2" s="14" t="str">
        <f>Control!$C$21</f>
        <v>NVDA US Equity</v>
      </c>
      <c r="CK2" s="14" t="str">
        <f>Control!$C$22</f>
        <v>PLTR US Equity</v>
      </c>
      <c r="CS2" s="14" t="str">
        <f>Control!$C$23</f>
        <v>TSLA US Equity</v>
      </c>
      <c r="DA2" s="14" t="str">
        <f>Control!$C$24</f>
        <v>TSM US Equity</v>
      </c>
      <c r="DI2" s="14" t="str">
        <f>Control!$C$25</f>
        <v>AVGO US Equity</v>
      </c>
      <c r="DQ2" s="14" t="str">
        <f>Control!$C$26</f>
        <v>AMD US Equity</v>
      </c>
      <c r="DY2" s="14" t="str">
        <f>Control!$C$27</f>
        <v>MU US Equity</v>
      </c>
      <c r="EG2" s="14" t="str">
        <f>Control!$C$28</f>
        <v>MSTR US Equity</v>
      </c>
      <c r="EO2" s="14" t="str">
        <f>Control!$C$29</f>
        <v>COIN US Equity</v>
      </c>
      <c r="EW2" s="14" t="str">
        <f>Control!$C$30</f>
        <v>HOOD US Equity</v>
      </c>
      <c r="FE2" s="14" t="str">
        <f>Control!$C$31</f>
        <v>SHOP US Equity</v>
      </c>
      <c r="FM2" s="14" t="str">
        <f>Control!$C$32</f>
        <v>SMCI US Equity</v>
      </c>
      <c r="FU2" s="14" t="str">
        <f>Control!$C$33</f>
        <v>ORCL US Equity</v>
      </c>
      <c r="GC2" s="14" t="str">
        <f>Control!$C$34</f>
        <v>CRM US Equity</v>
      </c>
      <c r="GK2" s="14" t="str">
        <f>Control!$C$35</f>
        <v>ADBE US Equity</v>
      </c>
      <c r="GS2" s="14" t="str">
        <f>Control!$C$36</f>
        <v>NOW US Equity</v>
      </c>
      <c r="HA2" s="14" t="str">
        <f>Control!$C$37</f>
        <v>LLY US Equity</v>
      </c>
      <c r="HI2" s="14" t="str">
        <f>Control!$C$38</f>
        <v>UNH US Equity</v>
      </c>
      <c r="HQ2" s="14" t="str">
        <f>Control!$C$39</f>
        <v>JPM US Equity</v>
      </c>
      <c r="HY2" s="14" t="str">
        <f>Control!$C$40</f>
        <v>COST US Equity</v>
      </c>
      <c r="IG2" s="14" t="str">
        <f>Control!$C$41</f>
        <v>XOM US Equity</v>
      </c>
    </row>
    <row r="3" spans="1:247" x14ac:dyDescent="0.3">
      <c r="A3" s="19" t="str">
        <f>"Cash dividend payer: "&amp;Control!$E$11</f>
        <v>Cash dividend payer: YES - ETF distributions</v>
      </c>
      <c r="B3" s="20"/>
      <c r="C3" s="20"/>
      <c r="D3" s="20"/>
      <c r="E3" s="20"/>
      <c r="F3" s="20"/>
      <c r="G3" s="20"/>
      <c r="I3" s="19" t="str">
        <f>"Cash dividend payer: "&amp;Control!$E$12</f>
        <v>Cash dividend payer: YES - ETF distributions</v>
      </c>
      <c r="J3" s="20"/>
      <c r="K3" s="20"/>
      <c r="L3" s="20"/>
      <c r="M3" s="20"/>
      <c r="N3" s="20"/>
      <c r="O3" s="20"/>
      <c r="Q3" s="19" t="str">
        <f>"Cash dividend payer: "&amp;Control!$E$13</f>
        <v>Cash dividend payer: YES - ETF distributions</v>
      </c>
      <c r="R3" s="20"/>
      <c r="S3" s="20"/>
      <c r="T3" s="20"/>
      <c r="U3" s="20"/>
      <c r="V3" s="20"/>
      <c r="W3" s="20"/>
      <c r="Y3" s="19" t="str">
        <f>"Cash dividend payer: "&amp;Control!$E$14</f>
        <v>Cash dividend payer: YES - ETF distributions</v>
      </c>
      <c r="Z3" s="20"/>
      <c r="AA3" s="20"/>
      <c r="AB3" s="20"/>
      <c r="AC3" s="20"/>
      <c r="AD3" s="20"/>
      <c r="AE3" s="20"/>
      <c r="AG3" s="19" t="str">
        <f>"Cash dividend payer: "&amp;Control!$E$15</f>
        <v>Cash dividend payer: YES</v>
      </c>
      <c r="AH3" s="20"/>
      <c r="AI3" s="20"/>
      <c r="AJ3" s="20"/>
      <c r="AK3" s="20"/>
      <c r="AL3" s="20"/>
      <c r="AM3" s="20"/>
      <c r="AO3" s="22" t="str">
        <f>"Cash dividend payer: "&amp;Control!$E$16</f>
        <v>Cash dividend payer: NO - expected empty / non-cash rows only</v>
      </c>
      <c r="AP3" s="20"/>
      <c r="AQ3" s="20"/>
      <c r="AR3" s="20"/>
      <c r="AS3" s="20"/>
      <c r="AT3" s="20"/>
      <c r="AU3" s="20"/>
      <c r="AW3" s="19" t="str">
        <f>"Cash dividend payer: "&amp;Control!$E$17</f>
        <v>Cash dividend payer: YES</v>
      </c>
      <c r="AX3" s="20"/>
      <c r="AY3" s="20"/>
      <c r="AZ3" s="20"/>
      <c r="BA3" s="20"/>
      <c r="BB3" s="20"/>
      <c r="BC3" s="20"/>
      <c r="BE3" s="19" t="str">
        <f>"Cash dividend payer: "&amp;Control!$E$18</f>
        <v>Cash dividend payer: YES</v>
      </c>
      <c r="BF3" s="20"/>
      <c r="BG3" s="20"/>
      <c r="BH3" s="20"/>
      <c r="BI3" s="20"/>
      <c r="BJ3" s="20"/>
      <c r="BK3" s="20"/>
      <c r="BM3" s="19" t="str">
        <f>"Cash dividend payer: "&amp;Control!$E$19</f>
        <v>Cash dividend payer: YES</v>
      </c>
      <c r="BN3" s="20"/>
      <c r="BO3" s="20"/>
      <c r="BP3" s="20"/>
      <c r="BQ3" s="20"/>
      <c r="BR3" s="20"/>
      <c r="BS3" s="20"/>
      <c r="BU3" s="22" t="str">
        <f>"Cash dividend payer: "&amp;Control!$E$20</f>
        <v>Cash dividend payer: NO - expected empty / non-cash rows only</v>
      </c>
      <c r="BV3" s="20"/>
      <c r="BW3" s="20"/>
      <c r="BX3" s="20"/>
      <c r="BY3" s="20"/>
      <c r="BZ3" s="20"/>
      <c r="CA3" s="20"/>
      <c r="CC3" s="19" t="str">
        <f>"Cash dividend payer: "&amp;Control!$E$21</f>
        <v>Cash dividend payer: YES</v>
      </c>
      <c r="CD3" s="20"/>
      <c r="CE3" s="20"/>
      <c r="CF3" s="20"/>
      <c r="CG3" s="20"/>
      <c r="CH3" s="20"/>
      <c r="CI3" s="20"/>
      <c r="CK3" s="22" t="str">
        <f>"Cash dividend payer: "&amp;Control!$E$22</f>
        <v>Cash dividend payer: NO - expected empty / non-cash rows only</v>
      </c>
      <c r="CL3" s="20"/>
      <c r="CM3" s="20"/>
      <c r="CN3" s="20"/>
      <c r="CO3" s="20"/>
      <c r="CP3" s="20"/>
      <c r="CQ3" s="20"/>
      <c r="CS3" s="22" t="str">
        <f>"Cash dividend payer: "&amp;Control!$E$23</f>
        <v>Cash dividend payer: NO - expected empty / non-cash rows only</v>
      </c>
      <c r="CT3" s="20"/>
      <c r="CU3" s="20"/>
      <c r="CV3" s="20"/>
      <c r="CW3" s="20"/>
      <c r="CX3" s="20"/>
      <c r="CY3" s="20"/>
      <c r="DA3" s="19" t="str">
        <f>"Cash dividend payer: "&amp;Control!$E$24</f>
        <v>Cash dividend payer: YES</v>
      </c>
      <c r="DB3" s="20"/>
      <c r="DC3" s="20"/>
      <c r="DD3" s="20"/>
      <c r="DE3" s="20"/>
      <c r="DF3" s="20"/>
      <c r="DG3" s="20"/>
      <c r="DI3" s="19" t="str">
        <f>"Cash dividend payer: "&amp;Control!$E$25</f>
        <v>Cash dividend payer: YES</v>
      </c>
      <c r="DJ3" s="20"/>
      <c r="DK3" s="20"/>
      <c r="DL3" s="20"/>
      <c r="DM3" s="20"/>
      <c r="DN3" s="20"/>
      <c r="DO3" s="20"/>
      <c r="DQ3" s="22" t="str">
        <f>"Cash dividend payer: "&amp;Control!$E$26</f>
        <v>Cash dividend payer: NO - expected empty / non-cash rows only</v>
      </c>
      <c r="DR3" s="20"/>
      <c r="DS3" s="20"/>
      <c r="DT3" s="20"/>
      <c r="DU3" s="20"/>
      <c r="DV3" s="20"/>
      <c r="DW3" s="20"/>
      <c r="DY3" s="19" t="str">
        <f>"Cash dividend payer: "&amp;Control!$E$27</f>
        <v>Cash dividend payer: YES</v>
      </c>
      <c r="DZ3" s="20"/>
      <c r="EA3" s="20"/>
      <c r="EB3" s="20"/>
      <c r="EC3" s="20"/>
      <c r="ED3" s="20"/>
      <c r="EE3" s="20"/>
      <c r="EG3" s="22" t="str">
        <f>"Cash dividend payer: "&amp;Control!$E$28</f>
        <v>Cash dividend payer: NO - expected empty / non-cash rows only</v>
      </c>
      <c r="EH3" s="20"/>
      <c r="EI3" s="20"/>
      <c r="EJ3" s="20"/>
      <c r="EK3" s="20"/>
      <c r="EL3" s="20"/>
      <c r="EM3" s="20"/>
      <c r="EO3" s="22" t="str">
        <f>"Cash dividend payer: "&amp;Control!$E$29</f>
        <v>Cash dividend payer: NO - expected empty / non-cash rows only</v>
      </c>
      <c r="EP3" s="20"/>
      <c r="EQ3" s="20"/>
      <c r="ER3" s="20"/>
      <c r="ES3" s="20"/>
      <c r="ET3" s="20"/>
      <c r="EU3" s="20"/>
      <c r="EW3" s="22" t="str">
        <f>"Cash dividend payer: "&amp;Control!$E$30</f>
        <v>Cash dividend payer: NO - expected empty / non-cash rows only</v>
      </c>
      <c r="EX3" s="20"/>
      <c r="EY3" s="20"/>
      <c r="EZ3" s="20"/>
      <c r="FA3" s="20"/>
      <c r="FB3" s="20"/>
      <c r="FC3" s="20"/>
      <c r="FE3" s="22" t="str">
        <f>"Cash dividend payer: "&amp;Control!$E$31</f>
        <v>Cash dividend payer: NO - expected empty / non-cash rows only</v>
      </c>
      <c r="FF3" s="20"/>
      <c r="FG3" s="20"/>
      <c r="FH3" s="20"/>
      <c r="FI3" s="20"/>
      <c r="FJ3" s="20"/>
      <c r="FK3" s="20"/>
      <c r="FM3" s="22" t="str">
        <f>"Cash dividend payer: "&amp;Control!$E$32</f>
        <v>Cash dividend payer: NO - expected empty / non-cash rows only</v>
      </c>
      <c r="FN3" s="20"/>
      <c r="FO3" s="20"/>
      <c r="FP3" s="20"/>
      <c r="FQ3" s="20"/>
      <c r="FR3" s="20"/>
      <c r="FS3" s="20"/>
      <c r="FU3" s="19" t="str">
        <f>"Cash dividend payer: "&amp;Control!$E$33</f>
        <v>Cash dividend payer: YES</v>
      </c>
      <c r="FV3" s="20"/>
      <c r="FW3" s="20"/>
      <c r="FX3" s="20"/>
      <c r="FY3" s="20"/>
      <c r="FZ3" s="20"/>
      <c r="GA3" s="20"/>
      <c r="GC3" s="19" t="str">
        <f>"Cash dividend payer: "&amp;Control!$E$34</f>
        <v>Cash dividend payer: YES</v>
      </c>
      <c r="GD3" s="20"/>
      <c r="GE3" s="20"/>
      <c r="GF3" s="20"/>
      <c r="GG3" s="20"/>
      <c r="GH3" s="20"/>
      <c r="GI3" s="20"/>
      <c r="GK3" s="22" t="str">
        <f>"Cash dividend payer: "&amp;Control!$E$35</f>
        <v>Cash dividend payer: NO - expected empty / non-cash rows only</v>
      </c>
      <c r="GL3" s="20"/>
      <c r="GM3" s="20"/>
      <c r="GN3" s="20"/>
      <c r="GO3" s="20"/>
      <c r="GP3" s="20"/>
      <c r="GQ3" s="20"/>
      <c r="GS3" s="22" t="str">
        <f>"Cash dividend payer: "&amp;Control!$E$36</f>
        <v>Cash dividend payer: NO - expected empty / non-cash rows only</v>
      </c>
      <c r="GT3" s="20"/>
      <c r="GU3" s="20"/>
      <c r="GV3" s="20"/>
      <c r="GW3" s="20"/>
      <c r="GX3" s="20"/>
      <c r="GY3" s="20"/>
      <c r="HA3" s="19" t="str">
        <f>"Cash dividend payer: "&amp;Control!$E$37</f>
        <v>Cash dividend payer: YES</v>
      </c>
      <c r="HB3" s="20"/>
      <c r="HC3" s="20"/>
      <c r="HD3" s="20"/>
      <c r="HE3" s="20"/>
      <c r="HF3" s="20"/>
      <c r="HG3" s="20"/>
      <c r="HI3" s="19" t="str">
        <f>"Cash dividend payer: "&amp;Control!$E$38</f>
        <v>Cash dividend payer: YES</v>
      </c>
      <c r="HJ3" s="20"/>
      <c r="HK3" s="20"/>
      <c r="HL3" s="20"/>
      <c r="HM3" s="20"/>
      <c r="HN3" s="20"/>
      <c r="HO3" s="20"/>
      <c r="HQ3" s="19" t="str">
        <f>"Cash dividend payer: "&amp;Control!$E$39</f>
        <v>Cash dividend payer: YES</v>
      </c>
      <c r="HR3" s="20"/>
      <c r="HS3" s="20"/>
      <c r="HT3" s="20"/>
      <c r="HU3" s="20"/>
      <c r="HV3" s="20"/>
      <c r="HW3" s="20"/>
      <c r="HY3" s="19" t="str">
        <f>"Cash dividend payer: "&amp;Control!$E$40</f>
        <v>Cash dividend payer: YES</v>
      </c>
      <c r="HZ3" s="20"/>
      <c r="IA3" s="20"/>
      <c r="IB3" s="20"/>
      <c r="IC3" s="20"/>
      <c r="ID3" s="20"/>
      <c r="IE3" s="20"/>
      <c r="IG3" s="19" t="str">
        <f>"Cash dividend payer: "&amp;Control!$E$41</f>
        <v>Cash dividend payer: YES</v>
      </c>
      <c r="IH3" s="20"/>
      <c r="II3" s="20"/>
      <c r="IJ3" s="20"/>
      <c r="IK3" s="20"/>
      <c r="IL3" s="20"/>
      <c r="IM3" s="20"/>
    </row>
    <row r="4" spans="1:247" ht="30.05" customHeight="1" x14ac:dyDescent="0.3">
      <c r="A4" s="15" t="s">
        <v>112</v>
      </c>
      <c r="B4" s="15" t="s">
        <v>113</v>
      </c>
      <c r="C4" s="15" t="s">
        <v>114</v>
      </c>
      <c r="D4" s="15" t="s">
        <v>115</v>
      </c>
      <c r="E4" s="15" t="s">
        <v>116</v>
      </c>
      <c r="F4" s="15" t="s">
        <v>117</v>
      </c>
      <c r="G4" s="15" t="s">
        <v>118</v>
      </c>
      <c r="I4" s="15" t="s">
        <v>112</v>
      </c>
      <c r="J4" s="15" t="s">
        <v>113</v>
      </c>
      <c r="K4" s="15" t="s">
        <v>114</v>
      </c>
      <c r="L4" s="15" t="s">
        <v>115</v>
      </c>
      <c r="M4" s="15" t="s">
        <v>116</v>
      </c>
      <c r="N4" s="15" t="s">
        <v>117</v>
      </c>
      <c r="O4" s="15" t="s">
        <v>118</v>
      </c>
      <c r="Q4" s="15" t="s">
        <v>112</v>
      </c>
      <c r="R4" s="15" t="s">
        <v>113</v>
      </c>
      <c r="S4" s="15" t="s">
        <v>114</v>
      </c>
      <c r="T4" s="15" t="s">
        <v>115</v>
      </c>
      <c r="U4" s="15" t="s">
        <v>116</v>
      </c>
      <c r="V4" s="15" t="s">
        <v>117</v>
      </c>
      <c r="W4" s="15" t="s">
        <v>118</v>
      </c>
      <c r="Y4" s="15" t="s">
        <v>112</v>
      </c>
      <c r="Z4" s="15" t="s">
        <v>113</v>
      </c>
      <c r="AA4" s="15" t="s">
        <v>114</v>
      </c>
      <c r="AB4" s="15" t="s">
        <v>115</v>
      </c>
      <c r="AC4" s="15" t="s">
        <v>116</v>
      </c>
      <c r="AD4" s="15" t="s">
        <v>117</v>
      </c>
      <c r="AE4" s="15" t="s">
        <v>118</v>
      </c>
      <c r="AG4" s="15" t="s">
        <v>112</v>
      </c>
      <c r="AH4" s="15" t="s">
        <v>113</v>
      </c>
      <c r="AI4" s="15" t="s">
        <v>114</v>
      </c>
      <c r="AJ4" s="15" t="s">
        <v>115</v>
      </c>
      <c r="AK4" s="15" t="s">
        <v>116</v>
      </c>
      <c r="AL4" s="15" t="s">
        <v>117</v>
      </c>
      <c r="AM4" s="15" t="s">
        <v>118</v>
      </c>
      <c r="AO4" s="15" t="s">
        <v>112</v>
      </c>
      <c r="AP4" s="15" t="s">
        <v>113</v>
      </c>
      <c r="AQ4" s="15" t="s">
        <v>114</v>
      </c>
      <c r="AR4" s="15" t="s">
        <v>115</v>
      </c>
      <c r="AS4" s="15" t="s">
        <v>116</v>
      </c>
      <c r="AT4" s="15" t="s">
        <v>117</v>
      </c>
      <c r="AU4" s="15" t="s">
        <v>118</v>
      </c>
      <c r="AW4" s="15" t="s">
        <v>112</v>
      </c>
      <c r="AX4" s="15" t="s">
        <v>113</v>
      </c>
      <c r="AY4" s="15" t="s">
        <v>114</v>
      </c>
      <c r="AZ4" s="15" t="s">
        <v>115</v>
      </c>
      <c r="BA4" s="15" t="s">
        <v>116</v>
      </c>
      <c r="BB4" s="15" t="s">
        <v>117</v>
      </c>
      <c r="BC4" s="15" t="s">
        <v>118</v>
      </c>
      <c r="BE4" s="15" t="s">
        <v>112</v>
      </c>
      <c r="BF4" s="15" t="s">
        <v>113</v>
      </c>
      <c r="BG4" s="15" t="s">
        <v>114</v>
      </c>
      <c r="BH4" s="15" t="s">
        <v>115</v>
      </c>
      <c r="BI4" s="15" t="s">
        <v>116</v>
      </c>
      <c r="BJ4" s="15" t="s">
        <v>117</v>
      </c>
      <c r="BK4" s="15" t="s">
        <v>118</v>
      </c>
      <c r="BM4" s="15" t="s">
        <v>112</v>
      </c>
      <c r="BN4" s="15" t="s">
        <v>113</v>
      </c>
      <c r="BO4" s="15" t="s">
        <v>114</v>
      </c>
      <c r="BP4" s="15" t="s">
        <v>115</v>
      </c>
      <c r="BQ4" s="15" t="s">
        <v>116</v>
      </c>
      <c r="BR4" s="15" t="s">
        <v>117</v>
      </c>
      <c r="BS4" s="15" t="s">
        <v>118</v>
      </c>
      <c r="BU4" s="15" t="s">
        <v>112</v>
      </c>
      <c r="BV4" s="15" t="s">
        <v>113</v>
      </c>
      <c r="BW4" s="15" t="s">
        <v>114</v>
      </c>
      <c r="BX4" s="15" t="s">
        <v>115</v>
      </c>
      <c r="BY4" s="15" t="s">
        <v>116</v>
      </c>
      <c r="BZ4" s="15" t="s">
        <v>117</v>
      </c>
      <c r="CA4" s="15" t="s">
        <v>118</v>
      </c>
      <c r="CC4" s="15" t="s">
        <v>112</v>
      </c>
      <c r="CD4" s="15" t="s">
        <v>113</v>
      </c>
      <c r="CE4" s="15" t="s">
        <v>114</v>
      </c>
      <c r="CF4" s="15" t="s">
        <v>115</v>
      </c>
      <c r="CG4" s="15" t="s">
        <v>116</v>
      </c>
      <c r="CH4" s="15" t="s">
        <v>117</v>
      </c>
      <c r="CI4" s="15" t="s">
        <v>118</v>
      </c>
      <c r="CK4" s="15" t="s">
        <v>112</v>
      </c>
      <c r="CL4" s="15" t="s">
        <v>113</v>
      </c>
      <c r="CM4" s="15" t="s">
        <v>114</v>
      </c>
      <c r="CN4" s="15" t="s">
        <v>115</v>
      </c>
      <c r="CO4" s="15" t="s">
        <v>116</v>
      </c>
      <c r="CP4" s="15" t="s">
        <v>117</v>
      </c>
      <c r="CQ4" s="15" t="s">
        <v>118</v>
      </c>
      <c r="CS4" s="15" t="s">
        <v>112</v>
      </c>
      <c r="CT4" s="15" t="s">
        <v>113</v>
      </c>
      <c r="CU4" s="15" t="s">
        <v>114</v>
      </c>
      <c r="CV4" s="15" t="s">
        <v>115</v>
      </c>
      <c r="CW4" s="15" t="s">
        <v>116</v>
      </c>
      <c r="CX4" s="15" t="s">
        <v>117</v>
      </c>
      <c r="CY4" s="15" t="s">
        <v>118</v>
      </c>
      <c r="DA4" s="15" t="s">
        <v>112</v>
      </c>
      <c r="DB4" s="15" t="s">
        <v>113</v>
      </c>
      <c r="DC4" s="15" t="s">
        <v>114</v>
      </c>
      <c r="DD4" s="15" t="s">
        <v>115</v>
      </c>
      <c r="DE4" s="15" t="s">
        <v>116</v>
      </c>
      <c r="DF4" s="15" t="s">
        <v>117</v>
      </c>
      <c r="DG4" s="15" t="s">
        <v>118</v>
      </c>
      <c r="DI4" s="15" t="s">
        <v>112</v>
      </c>
      <c r="DJ4" s="15" t="s">
        <v>113</v>
      </c>
      <c r="DK4" s="15" t="s">
        <v>114</v>
      </c>
      <c r="DL4" s="15" t="s">
        <v>115</v>
      </c>
      <c r="DM4" s="15" t="s">
        <v>116</v>
      </c>
      <c r="DN4" s="15" t="s">
        <v>117</v>
      </c>
      <c r="DO4" s="15" t="s">
        <v>118</v>
      </c>
      <c r="DQ4" s="15" t="s">
        <v>112</v>
      </c>
      <c r="DR4" s="15" t="s">
        <v>113</v>
      </c>
      <c r="DS4" s="15" t="s">
        <v>114</v>
      </c>
      <c r="DT4" s="15" t="s">
        <v>115</v>
      </c>
      <c r="DU4" s="15" t="s">
        <v>116</v>
      </c>
      <c r="DV4" s="15" t="s">
        <v>117</v>
      </c>
      <c r="DW4" s="15" t="s">
        <v>118</v>
      </c>
      <c r="DY4" s="15" t="s">
        <v>112</v>
      </c>
      <c r="DZ4" s="15" t="s">
        <v>113</v>
      </c>
      <c r="EA4" s="15" t="s">
        <v>114</v>
      </c>
      <c r="EB4" s="15" t="s">
        <v>115</v>
      </c>
      <c r="EC4" s="15" t="s">
        <v>116</v>
      </c>
      <c r="ED4" s="15" t="s">
        <v>117</v>
      </c>
      <c r="EE4" s="15" t="s">
        <v>118</v>
      </c>
      <c r="EG4" s="15" t="s">
        <v>112</v>
      </c>
      <c r="EH4" s="15" t="s">
        <v>113</v>
      </c>
      <c r="EI4" s="15" t="s">
        <v>114</v>
      </c>
      <c r="EJ4" s="15" t="s">
        <v>115</v>
      </c>
      <c r="EK4" s="15" t="s">
        <v>116</v>
      </c>
      <c r="EL4" s="15" t="s">
        <v>117</v>
      </c>
      <c r="EM4" s="15" t="s">
        <v>118</v>
      </c>
      <c r="EO4" s="15" t="s">
        <v>112</v>
      </c>
      <c r="EP4" s="15" t="s">
        <v>113</v>
      </c>
      <c r="EQ4" s="15" t="s">
        <v>114</v>
      </c>
      <c r="ER4" s="15" t="s">
        <v>115</v>
      </c>
      <c r="ES4" s="15" t="s">
        <v>116</v>
      </c>
      <c r="ET4" s="15" t="s">
        <v>117</v>
      </c>
      <c r="EU4" s="15" t="s">
        <v>118</v>
      </c>
      <c r="EW4" s="15" t="s">
        <v>112</v>
      </c>
      <c r="EX4" s="15" t="s">
        <v>113</v>
      </c>
      <c r="EY4" s="15" t="s">
        <v>114</v>
      </c>
      <c r="EZ4" s="15" t="s">
        <v>115</v>
      </c>
      <c r="FA4" s="15" t="s">
        <v>116</v>
      </c>
      <c r="FB4" s="15" t="s">
        <v>117</v>
      </c>
      <c r="FC4" s="15" t="s">
        <v>118</v>
      </c>
      <c r="FE4" s="15" t="s">
        <v>112</v>
      </c>
      <c r="FF4" s="15" t="s">
        <v>113</v>
      </c>
      <c r="FG4" s="15" t="s">
        <v>114</v>
      </c>
      <c r="FH4" s="15" t="s">
        <v>115</v>
      </c>
      <c r="FI4" s="15" t="s">
        <v>116</v>
      </c>
      <c r="FJ4" s="15" t="s">
        <v>117</v>
      </c>
      <c r="FK4" s="15" t="s">
        <v>118</v>
      </c>
      <c r="FM4" s="15" t="s">
        <v>112</v>
      </c>
      <c r="FN4" s="15" t="s">
        <v>113</v>
      </c>
      <c r="FO4" s="15" t="s">
        <v>114</v>
      </c>
      <c r="FP4" s="15" t="s">
        <v>115</v>
      </c>
      <c r="FQ4" s="15" t="s">
        <v>116</v>
      </c>
      <c r="FR4" s="15" t="s">
        <v>117</v>
      </c>
      <c r="FS4" s="15" t="s">
        <v>118</v>
      </c>
      <c r="FU4" s="15" t="s">
        <v>112</v>
      </c>
      <c r="FV4" s="15" t="s">
        <v>113</v>
      </c>
      <c r="FW4" s="15" t="s">
        <v>114</v>
      </c>
      <c r="FX4" s="15" t="s">
        <v>115</v>
      </c>
      <c r="FY4" s="15" t="s">
        <v>116</v>
      </c>
      <c r="FZ4" s="15" t="s">
        <v>117</v>
      </c>
      <c r="GA4" s="15" t="s">
        <v>118</v>
      </c>
      <c r="GC4" s="15" t="s">
        <v>112</v>
      </c>
      <c r="GD4" s="15" t="s">
        <v>113</v>
      </c>
      <c r="GE4" s="15" t="s">
        <v>114</v>
      </c>
      <c r="GF4" s="15" t="s">
        <v>115</v>
      </c>
      <c r="GG4" s="15" t="s">
        <v>116</v>
      </c>
      <c r="GH4" s="15" t="s">
        <v>117</v>
      </c>
      <c r="GI4" s="15" t="s">
        <v>118</v>
      </c>
      <c r="GK4" s="15" t="s">
        <v>112</v>
      </c>
      <c r="GL4" s="15" t="s">
        <v>113</v>
      </c>
      <c r="GM4" s="15" t="s">
        <v>114</v>
      </c>
      <c r="GN4" s="15" t="s">
        <v>115</v>
      </c>
      <c r="GO4" s="15" t="s">
        <v>116</v>
      </c>
      <c r="GP4" s="15" t="s">
        <v>117</v>
      </c>
      <c r="GQ4" s="15" t="s">
        <v>118</v>
      </c>
      <c r="GS4" s="15" t="s">
        <v>112</v>
      </c>
      <c r="GT4" s="15" t="s">
        <v>113</v>
      </c>
      <c r="GU4" s="15" t="s">
        <v>114</v>
      </c>
      <c r="GV4" s="15" t="s">
        <v>115</v>
      </c>
      <c r="GW4" s="15" t="s">
        <v>116</v>
      </c>
      <c r="GX4" s="15" t="s">
        <v>117</v>
      </c>
      <c r="GY4" s="15" t="s">
        <v>118</v>
      </c>
      <c r="HA4" s="15" t="s">
        <v>112</v>
      </c>
      <c r="HB4" s="15" t="s">
        <v>113</v>
      </c>
      <c r="HC4" s="15" t="s">
        <v>114</v>
      </c>
      <c r="HD4" s="15" t="s">
        <v>115</v>
      </c>
      <c r="HE4" s="15" t="s">
        <v>116</v>
      </c>
      <c r="HF4" s="15" t="s">
        <v>117</v>
      </c>
      <c r="HG4" s="15" t="s">
        <v>118</v>
      </c>
      <c r="HI4" s="15" t="s">
        <v>112</v>
      </c>
      <c r="HJ4" s="15" t="s">
        <v>113</v>
      </c>
      <c r="HK4" s="15" t="s">
        <v>114</v>
      </c>
      <c r="HL4" s="15" t="s">
        <v>115</v>
      </c>
      <c r="HM4" s="15" t="s">
        <v>116</v>
      </c>
      <c r="HN4" s="15" t="s">
        <v>117</v>
      </c>
      <c r="HO4" s="15" t="s">
        <v>118</v>
      </c>
      <c r="HQ4" s="15" t="s">
        <v>112</v>
      </c>
      <c r="HR4" s="15" t="s">
        <v>113</v>
      </c>
      <c r="HS4" s="15" t="s">
        <v>114</v>
      </c>
      <c r="HT4" s="15" t="s">
        <v>115</v>
      </c>
      <c r="HU4" s="15" t="s">
        <v>116</v>
      </c>
      <c r="HV4" s="15" t="s">
        <v>117</v>
      </c>
      <c r="HW4" s="15" t="s">
        <v>118</v>
      </c>
      <c r="HY4" s="15" t="s">
        <v>112</v>
      </c>
      <c r="HZ4" s="15" t="s">
        <v>113</v>
      </c>
      <c r="IA4" s="15" t="s">
        <v>114</v>
      </c>
      <c r="IB4" s="15" t="s">
        <v>115</v>
      </c>
      <c r="IC4" s="15" t="s">
        <v>116</v>
      </c>
      <c r="ID4" s="15" t="s">
        <v>117</v>
      </c>
      <c r="IE4" s="15" t="s">
        <v>118</v>
      </c>
      <c r="IG4" s="15" t="s">
        <v>112</v>
      </c>
      <c r="IH4" s="15" t="s">
        <v>113</v>
      </c>
      <c r="II4" s="15" t="s">
        <v>114</v>
      </c>
      <c r="IJ4" s="15" t="s">
        <v>115</v>
      </c>
      <c r="IK4" s="15" t="s">
        <v>116</v>
      </c>
      <c r="IL4" s="15" t="s">
        <v>117</v>
      </c>
      <c r="IM4" s="15" t="s">
        <v>118</v>
      </c>
    </row>
    <row r="5" spans="1:247" x14ac:dyDescent="0.3">
      <c r="A5" s="17">
        <f>_xll.BDS(A$2,DvdField,DvdStart,DvdEnd,"cols=7;rows=67")</f>
        <v>46282</v>
      </c>
      <c r="B5" s="18">
        <v>46283</v>
      </c>
      <c r="C5" s="18">
        <v>46283</v>
      </c>
      <c r="D5" s="18">
        <v>46325</v>
      </c>
      <c r="E5">
        <v>1.8888339999999999</v>
      </c>
      <c r="F5" t="s">
        <v>119</v>
      </c>
      <c r="G5" t="s">
        <v>123</v>
      </c>
      <c r="I5" s="17">
        <f>_xll.BDS(I$2,DvdField,DvdStart,DvdEnd,"cols=7;rows=69")</f>
        <v>46283</v>
      </c>
      <c r="J5" s="18">
        <v>46286</v>
      </c>
      <c r="K5" s="18">
        <v>46286</v>
      </c>
      <c r="L5" s="18">
        <v>46303</v>
      </c>
      <c r="M5">
        <v>0.75143000000000004</v>
      </c>
      <c r="N5" t="s">
        <v>119</v>
      </c>
      <c r="O5" t="s">
        <v>123</v>
      </c>
      <c r="Q5" s="17">
        <f>_xll.BDS(Q$2,DvdField,DvdStart,DvdEnd,"cols=7;rows=68")</f>
        <v>46283</v>
      </c>
      <c r="R5" s="18">
        <v>46286</v>
      </c>
      <c r="S5" s="18">
        <v>46286</v>
      </c>
      <c r="T5" s="18">
        <v>46288</v>
      </c>
      <c r="U5">
        <v>0.22068599999999999</v>
      </c>
      <c r="V5" t="s">
        <v>119</v>
      </c>
      <c r="W5" t="s">
        <v>123</v>
      </c>
      <c r="Y5" s="17">
        <f>_xll.BDS(Y$2,DvdField,DvdStart,DvdEnd,"cols=7;rows=17")</f>
        <v>46010</v>
      </c>
      <c r="Z5" s="18">
        <v>46013</v>
      </c>
      <c r="AA5" s="18">
        <v>46013</v>
      </c>
      <c r="AB5" s="18">
        <v>46017</v>
      </c>
      <c r="AC5">
        <v>1.1047</v>
      </c>
      <c r="AD5" t="s">
        <v>126</v>
      </c>
      <c r="AE5" t="s">
        <v>123</v>
      </c>
      <c r="AG5" s="16">
        <f>_xll.BDS(AG$2,DvdField,DvdStart,DvdEnd,"cols=7;rows=59")</f>
        <v>46233</v>
      </c>
      <c r="AH5">
        <v>46244</v>
      </c>
      <c r="AI5">
        <v>46244</v>
      </c>
      <c r="AJ5">
        <v>46247</v>
      </c>
      <c r="AK5">
        <v>0.27</v>
      </c>
      <c r="AL5" t="s">
        <v>119</v>
      </c>
      <c r="AM5" t="s">
        <v>120</v>
      </c>
      <c r="AO5" s="17">
        <f>_xll.BDS(AO$2,DvdField,DvdStart,DvdEnd,"cols=7;rows=1")</f>
        <v>44629</v>
      </c>
      <c r="AP5" s="18">
        <v>44718</v>
      </c>
      <c r="AQ5" s="18">
        <v>44708</v>
      </c>
      <c r="AR5" s="18">
        <v>44715</v>
      </c>
      <c r="AS5">
        <v>20</v>
      </c>
      <c r="AT5" t="s">
        <v>121</v>
      </c>
      <c r="AU5" t="s">
        <v>122</v>
      </c>
      <c r="AW5" s="17">
        <f>_xll.BDS(AW$2,DvdField,DvdStart,DvdEnd,"cols=7;rows=12")</f>
        <v>46225</v>
      </c>
      <c r="AX5" s="18">
        <v>46269</v>
      </c>
      <c r="AY5" s="18">
        <v>46272</v>
      </c>
      <c r="AZ5" s="18">
        <v>46279</v>
      </c>
      <c r="BA5">
        <v>0.22</v>
      </c>
      <c r="BB5" t="s">
        <v>119</v>
      </c>
      <c r="BC5" t="s">
        <v>120</v>
      </c>
      <c r="BE5" s="17">
        <f>_xll.BDS(BE$2,DvdField,DvdStart,DvdEnd,"cols=7;rows=12")</f>
        <v>46275</v>
      </c>
      <c r="BF5" s="18">
        <v>46286</v>
      </c>
      <c r="BG5" s="18">
        <v>46286</v>
      </c>
      <c r="BH5" s="18">
        <v>46293</v>
      </c>
      <c r="BI5">
        <v>0.52500000000000002</v>
      </c>
      <c r="BJ5" t="s">
        <v>119</v>
      </c>
      <c r="BK5" t="s">
        <v>120</v>
      </c>
      <c r="BM5" s="17">
        <f>_xll.BDS(BM$2,DvdField,DvdStart,DvdEnd,"cols=7;rows=68")</f>
        <v>46280</v>
      </c>
      <c r="BN5" s="18">
        <v>46345</v>
      </c>
      <c r="BO5" s="18">
        <v>46345</v>
      </c>
      <c r="BP5" s="18">
        <v>46366</v>
      </c>
      <c r="BQ5">
        <v>0.98</v>
      </c>
      <c r="BR5" t="s">
        <v>119</v>
      </c>
      <c r="BS5" t="s">
        <v>120</v>
      </c>
      <c r="BU5" s="17">
        <f>_xll.BDS(BU$2,DvdField,DvdStart,DvdEnd,"cols=7;rows=3")</f>
        <v>45960</v>
      </c>
      <c r="BV5" s="18">
        <v>45978</v>
      </c>
      <c r="BW5" s="18">
        <v>45971</v>
      </c>
      <c r="BX5" s="18">
        <v>45975</v>
      </c>
      <c r="BY5">
        <v>10</v>
      </c>
      <c r="BZ5" t="s">
        <v>121</v>
      </c>
      <c r="CA5" t="s">
        <v>122</v>
      </c>
      <c r="CC5" s="17">
        <f>_xll.BDS(CC$2,DvdField,DvdStart,DvdEnd,"cols=7;rows=58")</f>
        <v>46260</v>
      </c>
      <c r="CD5" s="18">
        <v>46275</v>
      </c>
      <c r="CE5" s="18">
        <v>46275</v>
      </c>
      <c r="CF5" s="18">
        <v>46296</v>
      </c>
      <c r="CG5">
        <v>0.25</v>
      </c>
      <c r="CH5" t="s">
        <v>119</v>
      </c>
      <c r="CI5" t="s">
        <v>120</v>
      </c>
      <c r="CK5" s="16" t="str">
        <f>_xll.BDS(CK$2,DvdField,DvdStart,DvdEnd)</f>
        <v>#N/A Field Not Applicable</v>
      </c>
      <c r="CS5" s="17">
        <f>_xll.BDS(CS$2,DvdField,DvdStart,DvdEnd,"cols=7;rows=2")</f>
        <v>44778</v>
      </c>
      <c r="CT5" s="18">
        <v>44798</v>
      </c>
      <c r="CU5" s="18">
        <v>44790</v>
      </c>
      <c r="CV5" s="18">
        <v>44797</v>
      </c>
      <c r="CW5">
        <v>3</v>
      </c>
      <c r="CX5" t="s">
        <v>121</v>
      </c>
      <c r="CY5" t="s">
        <v>122</v>
      </c>
      <c r="DA5" s="17">
        <f>_xll.BDS(DA$2,DvdField,DvdStart,DvdEnd,"cols=7;rows=40")</f>
        <v>46245</v>
      </c>
      <c r="DB5" s="18">
        <v>46366</v>
      </c>
      <c r="DC5" s="18">
        <v>46366</v>
      </c>
      <c r="DD5" s="18">
        <v>46394</v>
      </c>
      <c r="DE5">
        <v>0.85749699999999995</v>
      </c>
      <c r="DF5" t="s">
        <v>119</v>
      </c>
      <c r="DG5" t="s">
        <v>120</v>
      </c>
      <c r="DI5" s="17">
        <f>_xll.BDS(DI$2,DvdField,DvdStart,DvdEnd,"cols=7;rows=65")</f>
        <v>46267</v>
      </c>
      <c r="DJ5" s="18">
        <v>46286</v>
      </c>
      <c r="DK5" s="18">
        <v>46286</v>
      </c>
      <c r="DL5" s="18">
        <v>46295</v>
      </c>
      <c r="DM5">
        <v>0.65</v>
      </c>
      <c r="DN5" t="s">
        <v>119</v>
      </c>
      <c r="DO5" t="s">
        <v>120</v>
      </c>
      <c r="DQ5" s="16" t="str">
        <f>_xll.BDS(DQ$2,DvdField,DvdStart,DvdEnd)</f>
        <v>#N/A Field Not Applicable</v>
      </c>
      <c r="DY5" s="17">
        <f>_xll.BDS(DY$2,DvdField,DvdStart,DvdEnd,"cols=7;rows=21")</f>
        <v>46197</v>
      </c>
      <c r="DZ5" s="18">
        <v>46209</v>
      </c>
      <c r="EA5" s="18">
        <v>46209</v>
      </c>
      <c r="EB5" s="18">
        <v>46224</v>
      </c>
      <c r="EC5">
        <v>0.15</v>
      </c>
      <c r="ED5" t="s">
        <v>119</v>
      </c>
      <c r="EE5" t="s">
        <v>120</v>
      </c>
      <c r="EG5" s="17">
        <f>_xll.BDS(EG$2,DvdField,DvdStart,DvdEnd,"cols=7;rows=1")</f>
        <v>45484</v>
      </c>
      <c r="EH5" s="18">
        <v>45512</v>
      </c>
      <c r="EI5" s="18">
        <v>45505</v>
      </c>
      <c r="EJ5" s="18">
        <v>45511</v>
      </c>
      <c r="EK5">
        <v>10</v>
      </c>
      <c r="EL5" t="s">
        <v>121</v>
      </c>
      <c r="EM5" t="s">
        <v>122</v>
      </c>
      <c r="EO5" s="16" t="str">
        <f>_xll.BDS(EO$2,DvdField,DvdStart,DvdEnd)</f>
        <v>#N/A Field Not Applicable</v>
      </c>
      <c r="EW5" s="16" t="str">
        <f>_xll.BDS(EW$2,DvdField,DvdStart,DvdEnd)</f>
        <v>#N/A Field Not Applicable</v>
      </c>
      <c r="FE5" s="17">
        <f>_xll.BDS(FE$2,DvdField,DvdStart,DvdEnd,"cols=7;rows=1")</f>
        <v>44662</v>
      </c>
      <c r="FF5" s="18">
        <v>44741</v>
      </c>
      <c r="FG5" s="18">
        <v>44734</v>
      </c>
      <c r="FH5" s="18">
        <v>44740</v>
      </c>
      <c r="FI5">
        <v>10</v>
      </c>
      <c r="FJ5" t="s">
        <v>121</v>
      </c>
      <c r="FK5" t="s">
        <v>122</v>
      </c>
      <c r="FM5" s="17">
        <f>_xll.BDS(FM$2,DvdField,DvdStart,DvdEnd,"cols=7;rows=1")</f>
        <v>45510</v>
      </c>
      <c r="FN5" s="18">
        <v>45566</v>
      </c>
      <c r="FO5" t="s">
        <v>125</v>
      </c>
      <c r="FP5" t="s">
        <v>125</v>
      </c>
      <c r="FQ5">
        <v>10</v>
      </c>
      <c r="FR5" t="s">
        <v>121</v>
      </c>
      <c r="FS5" t="s">
        <v>122</v>
      </c>
      <c r="FU5" s="17">
        <f>_xll.BDS(FU$2,DvdField,DvdStart,DvdEnd,"cols=7;rows=69")</f>
        <v>46275</v>
      </c>
      <c r="FV5" s="18">
        <v>46304</v>
      </c>
      <c r="FW5" s="18">
        <v>46304</v>
      </c>
      <c r="FX5" s="18">
        <v>46318</v>
      </c>
      <c r="FY5">
        <v>0.5</v>
      </c>
      <c r="FZ5" t="s">
        <v>119</v>
      </c>
      <c r="GA5" t="s">
        <v>120</v>
      </c>
      <c r="GC5" s="17">
        <f>_xll.BDS(GC$2,DvdField,DvdStart,DvdEnd,"cols=7;rows=12")</f>
        <v>46268</v>
      </c>
      <c r="GD5" s="18">
        <v>46282</v>
      </c>
      <c r="GE5" s="18">
        <v>46282</v>
      </c>
      <c r="GF5" s="18">
        <v>46303</v>
      </c>
      <c r="GG5">
        <v>0.44</v>
      </c>
      <c r="GH5" t="s">
        <v>119</v>
      </c>
      <c r="GI5" t="s">
        <v>120</v>
      </c>
      <c r="GK5" s="16" t="str">
        <f>_xll.BDS(GK$2,DvdField,DvdStart,DvdEnd)</f>
        <v>#N/A Field Not Applicable</v>
      </c>
      <c r="GS5" s="17">
        <f>_xll.BDS(GS$2,DvdField,DvdStart,DvdEnd,"cols=7;rows=1")</f>
        <v>45959</v>
      </c>
      <c r="GT5" s="18">
        <v>46009</v>
      </c>
      <c r="GU5" s="18">
        <v>46007</v>
      </c>
      <c r="GV5" s="18">
        <v>46008</v>
      </c>
      <c r="GW5">
        <v>5</v>
      </c>
      <c r="GX5" t="s">
        <v>121</v>
      </c>
      <c r="GY5" t="s">
        <v>122</v>
      </c>
      <c r="HA5" s="17">
        <f>_xll.BDS(HA$2,DvdField,DvdStart,DvdEnd,"cols=7;rows=68")</f>
        <v>46195</v>
      </c>
      <c r="HB5" s="18">
        <v>46248</v>
      </c>
      <c r="HC5" s="18">
        <v>46248</v>
      </c>
      <c r="HD5" s="18">
        <v>46275</v>
      </c>
      <c r="HE5">
        <v>1.73</v>
      </c>
      <c r="HF5" t="s">
        <v>119</v>
      </c>
      <c r="HG5" t="s">
        <v>120</v>
      </c>
      <c r="HI5" s="17">
        <f>_xll.BDS(HI$2,DvdField,DvdStart,DvdEnd,"cols=7;rows=67")</f>
        <v>46246</v>
      </c>
      <c r="HJ5" s="18">
        <v>46279</v>
      </c>
      <c r="HK5" s="18">
        <v>46279</v>
      </c>
      <c r="HL5" s="18">
        <v>46287</v>
      </c>
      <c r="HM5">
        <v>2.3199999999999998</v>
      </c>
      <c r="HN5" t="s">
        <v>119</v>
      </c>
      <c r="HO5" t="s">
        <v>120</v>
      </c>
      <c r="HQ5" s="17">
        <f>_xll.BDS(HQ$2,DvdField,DvdStart,DvdEnd,"cols=7;rows=68")</f>
        <v>46280</v>
      </c>
      <c r="HR5" s="18">
        <v>46301</v>
      </c>
      <c r="HS5" s="18">
        <v>46301</v>
      </c>
      <c r="HT5" s="18">
        <v>46326</v>
      </c>
      <c r="HU5">
        <v>1.65</v>
      </c>
      <c r="HV5" t="s">
        <v>119</v>
      </c>
      <c r="HW5" t="s">
        <v>120</v>
      </c>
      <c r="HY5" s="17">
        <f>_xll.BDS(HY$2,DvdField,DvdStart,DvdEnd,"cols=7;rows=72")</f>
        <v>46211</v>
      </c>
      <c r="HZ5" s="18">
        <v>46227</v>
      </c>
      <c r="IA5" s="18">
        <v>46227</v>
      </c>
      <c r="IB5" s="18">
        <v>46241</v>
      </c>
      <c r="IC5">
        <v>1.47</v>
      </c>
      <c r="ID5" t="s">
        <v>119</v>
      </c>
      <c r="IE5" t="s">
        <v>120</v>
      </c>
      <c r="IG5" s="17">
        <f>_xll.BDS(IG$2,DvdField,DvdStart,DvdEnd,"cols=7;rows=67")</f>
        <v>46234</v>
      </c>
      <c r="IH5" s="18">
        <v>46251</v>
      </c>
      <c r="II5" s="18">
        <v>46251</v>
      </c>
      <c r="IJ5" s="18">
        <v>46275</v>
      </c>
      <c r="IK5">
        <v>1.03</v>
      </c>
      <c r="IL5" t="s">
        <v>119</v>
      </c>
      <c r="IM5" t="s">
        <v>120</v>
      </c>
    </row>
    <row r="6" spans="1:247" x14ac:dyDescent="0.3">
      <c r="A6" s="18">
        <v>46190</v>
      </c>
      <c r="B6" s="18">
        <v>46191</v>
      </c>
      <c r="C6" s="18">
        <v>46191</v>
      </c>
      <c r="D6" s="18">
        <v>46234</v>
      </c>
      <c r="E6">
        <v>1.903516</v>
      </c>
      <c r="F6" t="s">
        <v>119</v>
      </c>
      <c r="G6" t="s">
        <v>123</v>
      </c>
      <c r="I6" s="18">
        <v>46191</v>
      </c>
      <c r="J6" s="18">
        <v>46195</v>
      </c>
      <c r="K6" s="18">
        <v>46195</v>
      </c>
      <c r="L6" s="18">
        <v>46213</v>
      </c>
      <c r="M6">
        <v>0.81349000000000005</v>
      </c>
      <c r="N6" t="s">
        <v>119</v>
      </c>
      <c r="O6" t="s">
        <v>123</v>
      </c>
      <c r="Q6" s="18">
        <v>46191</v>
      </c>
      <c r="R6" s="18">
        <v>46195</v>
      </c>
      <c r="S6" s="18">
        <v>46195</v>
      </c>
      <c r="T6" s="18">
        <v>46197</v>
      </c>
      <c r="U6">
        <v>0.22791800000000001</v>
      </c>
      <c r="V6" t="s">
        <v>119</v>
      </c>
      <c r="W6" t="s">
        <v>123</v>
      </c>
      <c r="Y6" s="18">
        <v>45652</v>
      </c>
      <c r="Z6" s="18">
        <v>45653</v>
      </c>
      <c r="AA6" s="18">
        <v>45653</v>
      </c>
      <c r="AB6" s="18">
        <v>45656</v>
      </c>
      <c r="AC6">
        <v>-2.4245362661989844E-14</v>
      </c>
      <c r="AD6" t="s">
        <v>126</v>
      </c>
      <c r="AE6" t="s">
        <v>127</v>
      </c>
      <c r="AG6">
        <v>46142</v>
      </c>
      <c r="AH6">
        <v>46153</v>
      </c>
      <c r="AI6">
        <v>46153</v>
      </c>
      <c r="AJ6">
        <v>46156</v>
      </c>
      <c r="AK6">
        <v>0.27</v>
      </c>
      <c r="AL6" t="s">
        <v>119</v>
      </c>
      <c r="AM6" t="s">
        <v>120</v>
      </c>
      <c r="AW6" s="18">
        <v>46139</v>
      </c>
      <c r="AX6" s="18">
        <v>46181</v>
      </c>
      <c r="AY6" s="18">
        <v>46181</v>
      </c>
      <c r="AZ6" s="18">
        <v>46188</v>
      </c>
      <c r="BA6">
        <v>0.22</v>
      </c>
      <c r="BB6" t="s">
        <v>119</v>
      </c>
      <c r="BC6" t="s">
        <v>120</v>
      </c>
      <c r="BE6" s="18">
        <v>46170</v>
      </c>
      <c r="BF6" s="18">
        <v>46188</v>
      </c>
      <c r="BG6" s="18">
        <v>46188</v>
      </c>
      <c r="BH6" s="18">
        <v>46198</v>
      </c>
      <c r="BI6">
        <v>0.52500000000000002</v>
      </c>
      <c r="BJ6" t="s">
        <v>119</v>
      </c>
      <c r="BK6" t="s">
        <v>120</v>
      </c>
      <c r="BM6" s="18">
        <v>46183</v>
      </c>
      <c r="BN6" s="18">
        <v>46254</v>
      </c>
      <c r="BO6" s="18">
        <v>46254</v>
      </c>
      <c r="BP6" s="18">
        <v>46275</v>
      </c>
      <c r="BQ6">
        <v>0.91</v>
      </c>
      <c r="BR6" t="s">
        <v>119</v>
      </c>
      <c r="BS6" t="s">
        <v>120</v>
      </c>
      <c r="BU6" s="18">
        <v>42178</v>
      </c>
      <c r="BV6" s="18">
        <v>42200</v>
      </c>
      <c r="BW6" s="18">
        <v>42187</v>
      </c>
      <c r="BX6" s="18">
        <v>42199</v>
      </c>
      <c r="BY6">
        <v>7</v>
      </c>
      <c r="BZ6" t="s">
        <v>121</v>
      </c>
      <c r="CA6" t="s">
        <v>122</v>
      </c>
      <c r="CC6" s="18">
        <v>46162</v>
      </c>
      <c r="CD6" s="18">
        <v>46177</v>
      </c>
      <c r="CE6" s="18">
        <v>46177</v>
      </c>
      <c r="CF6" s="18">
        <v>46199</v>
      </c>
      <c r="CG6">
        <v>0.25</v>
      </c>
      <c r="CH6" t="s">
        <v>119</v>
      </c>
      <c r="CI6" t="s">
        <v>120</v>
      </c>
      <c r="CS6" s="18">
        <v>44054</v>
      </c>
      <c r="CT6" s="18">
        <v>44074</v>
      </c>
      <c r="CU6" s="18">
        <v>44064</v>
      </c>
      <c r="CV6" s="18">
        <v>44071</v>
      </c>
      <c r="CW6">
        <v>5</v>
      </c>
      <c r="CX6" t="s">
        <v>121</v>
      </c>
      <c r="CY6" t="s">
        <v>122</v>
      </c>
      <c r="DA6" s="18">
        <v>46154</v>
      </c>
      <c r="DB6" s="18">
        <v>46281</v>
      </c>
      <c r="DC6" s="18">
        <v>46281</v>
      </c>
      <c r="DD6" s="18">
        <v>46303</v>
      </c>
      <c r="DE6">
        <v>0.87488900000000003</v>
      </c>
      <c r="DF6" t="s">
        <v>119</v>
      </c>
      <c r="DG6" t="s">
        <v>120</v>
      </c>
      <c r="DI6" s="18">
        <v>46176</v>
      </c>
      <c r="DJ6" s="18">
        <v>46195</v>
      </c>
      <c r="DK6" s="18">
        <v>46195</v>
      </c>
      <c r="DL6" s="18">
        <v>46203</v>
      </c>
      <c r="DM6">
        <v>0.65</v>
      </c>
      <c r="DN6" t="s">
        <v>119</v>
      </c>
      <c r="DO6" t="s">
        <v>120</v>
      </c>
      <c r="DY6" s="18">
        <v>46099</v>
      </c>
      <c r="DZ6" s="18">
        <v>46111</v>
      </c>
      <c r="EA6" s="18">
        <v>46111</v>
      </c>
      <c r="EB6" s="18">
        <v>46127</v>
      </c>
      <c r="EC6">
        <v>0.15</v>
      </c>
      <c r="ED6" t="s">
        <v>119</v>
      </c>
      <c r="EE6" t="s">
        <v>120</v>
      </c>
      <c r="FU6" s="18">
        <v>46183</v>
      </c>
      <c r="FV6" s="18">
        <v>46213</v>
      </c>
      <c r="FW6" s="18">
        <v>46213</v>
      </c>
      <c r="FX6" s="18">
        <v>46227</v>
      </c>
      <c r="FY6">
        <v>0.5</v>
      </c>
      <c r="FZ6" t="s">
        <v>119</v>
      </c>
      <c r="GA6" t="s">
        <v>120</v>
      </c>
      <c r="GC6" s="18">
        <v>46170</v>
      </c>
      <c r="GD6" s="18">
        <v>46184</v>
      </c>
      <c r="GE6" s="18">
        <v>46184</v>
      </c>
      <c r="GF6" s="18">
        <v>46205</v>
      </c>
      <c r="GG6">
        <v>0.44</v>
      </c>
      <c r="GH6" t="s">
        <v>119</v>
      </c>
      <c r="GI6" t="s">
        <v>120</v>
      </c>
      <c r="HA6" s="18">
        <v>46146</v>
      </c>
      <c r="HB6" s="18">
        <v>46157</v>
      </c>
      <c r="HC6" s="18">
        <v>46157</v>
      </c>
      <c r="HD6" s="18">
        <v>46183</v>
      </c>
      <c r="HE6">
        <v>1.73</v>
      </c>
      <c r="HF6" t="s">
        <v>119</v>
      </c>
      <c r="HG6" t="s">
        <v>120</v>
      </c>
      <c r="HI6" s="18">
        <v>46176</v>
      </c>
      <c r="HJ6" s="18">
        <v>46188</v>
      </c>
      <c r="HK6" s="18">
        <v>46188</v>
      </c>
      <c r="HL6" s="18">
        <v>46196</v>
      </c>
      <c r="HM6">
        <v>2.3199999999999998</v>
      </c>
      <c r="HN6" t="s">
        <v>119</v>
      </c>
      <c r="HO6" t="s">
        <v>120</v>
      </c>
      <c r="HQ6" s="18">
        <v>46160</v>
      </c>
      <c r="HR6" s="18">
        <v>46209</v>
      </c>
      <c r="HS6" s="18">
        <v>46209</v>
      </c>
      <c r="HT6" s="18">
        <v>46234</v>
      </c>
      <c r="HU6">
        <v>1.5</v>
      </c>
      <c r="HV6" t="s">
        <v>119</v>
      </c>
      <c r="HW6" t="s">
        <v>120</v>
      </c>
      <c r="HY6" s="18">
        <v>46127</v>
      </c>
      <c r="HZ6" s="18">
        <v>46143</v>
      </c>
      <c r="IA6" s="18">
        <v>46143</v>
      </c>
      <c r="IB6" s="18">
        <v>46157</v>
      </c>
      <c r="IC6">
        <v>1.47</v>
      </c>
      <c r="ID6" t="s">
        <v>119</v>
      </c>
      <c r="IE6" t="s">
        <v>120</v>
      </c>
      <c r="IG6" s="18">
        <v>46143</v>
      </c>
      <c r="IH6" s="18">
        <v>46157</v>
      </c>
      <c r="II6" s="18">
        <v>46157</v>
      </c>
      <c r="IJ6" s="18">
        <v>46183</v>
      </c>
      <c r="IK6">
        <v>1.03</v>
      </c>
      <c r="IL6" t="s">
        <v>119</v>
      </c>
      <c r="IM6" t="s">
        <v>120</v>
      </c>
    </row>
    <row r="7" spans="1:247" x14ac:dyDescent="0.3">
      <c r="A7" s="18">
        <v>46100</v>
      </c>
      <c r="B7" s="18">
        <v>46101</v>
      </c>
      <c r="C7" s="18">
        <v>46101</v>
      </c>
      <c r="D7" s="18">
        <v>46142</v>
      </c>
      <c r="E7">
        <v>1.796999</v>
      </c>
      <c r="F7" t="s">
        <v>119</v>
      </c>
      <c r="G7" t="s">
        <v>123</v>
      </c>
      <c r="I7" s="18">
        <v>46101</v>
      </c>
      <c r="J7" s="18">
        <v>46104</v>
      </c>
      <c r="K7" s="18">
        <v>46104</v>
      </c>
      <c r="L7" s="18">
        <v>46108</v>
      </c>
      <c r="M7">
        <v>0.73282000000000003</v>
      </c>
      <c r="N7" t="s">
        <v>119</v>
      </c>
      <c r="O7" t="s">
        <v>123</v>
      </c>
      <c r="Q7" s="18">
        <v>46101</v>
      </c>
      <c r="R7" s="18">
        <v>46104</v>
      </c>
      <c r="S7" s="18">
        <v>46104</v>
      </c>
      <c r="T7" s="18">
        <v>46106</v>
      </c>
      <c r="U7">
        <v>0.16750499999999999</v>
      </c>
      <c r="V7" t="s">
        <v>119</v>
      </c>
      <c r="W7" t="s">
        <v>123</v>
      </c>
      <c r="Y7" s="18">
        <v>45646</v>
      </c>
      <c r="Z7" s="18">
        <v>45649</v>
      </c>
      <c r="AA7" s="18">
        <v>45649</v>
      </c>
      <c r="AB7" s="18">
        <v>45650</v>
      </c>
      <c r="AC7">
        <v>1.0712999999999999</v>
      </c>
      <c r="AD7" t="s">
        <v>126</v>
      </c>
      <c r="AE7" t="s">
        <v>123</v>
      </c>
      <c r="AG7">
        <v>46051</v>
      </c>
      <c r="AH7">
        <v>46062</v>
      </c>
      <c r="AI7">
        <v>46062</v>
      </c>
      <c r="AJ7">
        <v>46065</v>
      </c>
      <c r="AK7">
        <v>0.26</v>
      </c>
      <c r="AL7" t="s">
        <v>119</v>
      </c>
      <c r="AM7" t="s">
        <v>120</v>
      </c>
      <c r="AW7" s="18">
        <v>46057</v>
      </c>
      <c r="AX7" s="18">
        <v>46090</v>
      </c>
      <c r="AY7" s="18">
        <v>46090</v>
      </c>
      <c r="AZ7" s="18">
        <v>46097</v>
      </c>
      <c r="BA7">
        <v>0.21</v>
      </c>
      <c r="BB7" t="s">
        <v>119</v>
      </c>
      <c r="BC7" t="s">
        <v>120</v>
      </c>
      <c r="BE7" s="18">
        <v>46065</v>
      </c>
      <c r="BF7" s="18">
        <v>46097</v>
      </c>
      <c r="BG7" s="18">
        <v>46097</v>
      </c>
      <c r="BH7" s="18">
        <v>46107</v>
      </c>
      <c r="BI7">
        <v>0.52500000000000002</v>
      </c>
      <c r="BJ7" t="s">
        <v>119</v>
      </c>
      <c r="BK7" t="s">
        <v>120</v>
      </c>
      <c r="BM7" s="18">
        <v>46091</v>
      </c>
      <c r="BN7" s="18">
        <v>46163</v>
      </c>
      <c r="BO7" s="18">
        <v>46163</v>
      </c>
      <c r="BP7" s="18">
        <v>46184</v>
      </c>
      <c r="BQ7">
        <v>0.91</v>
      </c>
      <c r="BR7" t="s">
        <v>119</v>
      </c>
      <c r="BS7" t="s">
        <v>120</v>
      </c>
      <c r="BU7" s="18">
        <v>41218</v>
      </c>
      <c r="BV7" s="18">
        <v>41218</v>
      </c>
      <c r="BW7" s="18">
        <v>41215</v>
      </c>
      <c r="BX7" s="18" t="s">
        <v>125</v>
      </c>
      <c r="BY7">
        <v>1</v>
      </c>
      <c r="BZ7" t="s">
        <v>121</v>
      </c>
      <c r="CA7" t="s">
        <v>130</v>
      </c>
      <c r="CC7" s="18">
        <v>46078</v>
      </c>
      <c r="CD7" s="18">
        <v>46092</v>
      </c>
      <c r="CE7" s="18">
        <v>46092</v>
      </c>
      <c r="CF7" s="18">
        <v>46113</v>
      </c>
      <c r="CG7">
        <v>0.01</v>
      </c>
      <c r="CH7" t="s">
        <v>119</v>
      </c>
      <c r="CI7" t="s">
        <v>120</v>
      </c>
      <c r="DA7" s="18">
        <v>46063</v>
      </c>
      <c r="DB7" s="18">
        <v>46184</v>
      </c>
      <c r="DC7" s="18">
        <v>46184</v>
      </c>
      <c r="DD7" s="18">
        <v>46212</v>
      </c>
      <c r="DE7">
        <v>0.74206700000000003</v>
      </c>
      <c r="DF7" t="s">
        <v>119</v>
      </c>
      <c r="DG7" t="s">
        <v>120</v>
      </c>
      <c r="DI7" s="18">
        <v>46085</v>
      </c>
      <c r="DJ7" s="18">
        <v>46104</v>
      </c>
      <c r="DK7" s="18">
        <v>46104</v>
      </c>
      <c r="DL7" s="18">
        <v>46112</v>
      </c>
      <c r="DM7">
        <v>0.65</v>
      </c>
      <c r="DN7" t="s">
        <v>119</v>
      </c>
      <c r="DO7" t="s">
        <v>120</v>
      </c>
      <c r="DY7" s="18">
        <v>46008</v>
      </c>
      <c r="DZ7" s="18">
        <v>46020</v>
      </c>
      <c r="EA7" s="18">
        <v>46020</v>
      </c>
      <c r="EB7" s="18">
        <v>46036</v>
      </c>
      <c r="EC7">
        <v>0.115</v>
      </c>
      <c r="ED7" t="s">
        <v>119</v>
      </c>
      <c r="EE7" t="s">
        <v>120</v>
      </c>
      <c r="FU7" s="18">
        <v>46091</v>
      </c>
      <c r="FV7" s="18">
        <v>46121</v>
      </c>
      <c r="FW7" s="18">
        <v>46121</v>
      </c>
      <c r="FX7" s="18">
        <v>46136</v>
      </c>
      <c r="FY7">
        <v>0.5</v>
      </c>
      <c r="FZ7" t="s">
        <v>119</v>
      </c>
      <c r="GA7" t="s">
        <v>120</v>
      </c>
      <c r="GC7" s="18">
        <v>46078</v>
      </c>
      <c r="GD7" s="18">
        <v>46121</v>
      </c>
      <c r="GE7" s="18">
        <v>46121</v>
      </c>
      <c r="GF7" s="18">
        <v>46135</v>
      </c>
      <c r="GG7">
        <v>0.44</v>
      </c>
      <c r="GH7" t="s">
        <v>119</v>
      </c>
      <c r="GI7" t="s">
        <v>120</v>
      </c>
      <c r="HA7" s="18">
        <v>45999</v>
      </c>
      <c r="HB7" s="18">
        <v>46066</v>
      </c>
      <c r="HC7" s="18">
        <v>46066</v>
      </c>
      <c r="HD7" s="18">
        <v>46091</v>
      </c>
      <c r="HE7">
        <v>1.73</v>
      </c>
      <c r="HF7" t="s">
        <v>119</v>
      </c>
      <c r="HG7" t="s">
        <v>120</v>
      </c>
      <c r="HI7" s="18">
        <v>46078</v>
      </c>
      <c r="HJ7" s="18">
        <v>46090</v>
      </c>
      <c r="HK7" s="18">
        <v>46090</v>
      </c>
      <c r="HL7" s="18">
        <v>46098</v>
      </c>
      <c r="HM7">
        <v>2.21</v>
      </c>
      <c r="HN7" t="s">
        <v>119</v>
      </c>
      <c r="HO7" t="s">
        <v>120</v>
      </c>
      <c r="HQ7" s="18">
        <v>46098</v>
      </c>
      <c r="HR7" s="18">
        <v>46118</v>
      </c>
      <c r="HS7" s="18">
        <v>46118</v>
      </c>
      <c r="HT7" s="18">
        <v>46142</v>
      </c>
      <c r="HU7">
        <v>1.5</v>
      </c>
      <c r="HV7" t="s">
        <v>119</v>
      </c>
      <c r="HW7" t="s">
        <v>120</v>
      </c>
      <c r="HY7" s="18">
        <v>46037</v>
      </c>
      <c r="HZ7" s="18">
        <v>46052</v>
      </c>
      <c r="IA7" s="18">
        <v>46052</v>
      </c>
      <c r="IB7" s="18">
        <v>46066</v>
      </c>
      <c r="IC7">
        <v>1.3</v>
      </c>
      <c r="ID7" t="s">
        <v>119</v>
      </c>
      <c r="IE7" t="s">
        <v>120</v>
      </c>
      <c r="IG7" s="18">
        <v>46052</v>
      </c>
      <c r="IH7" s="18">
        <v>46065</v>
      </c>
      <c r="II7" s="18">
        <v>46065</v>
      </c>
      <c r="IJ7" s="18">
        <v>46091</v>
      </c>
      <c r="IK7">
        <v>1.03</v>
      </c>
      <c r="IL7" t="s">
        <v>119</v>
      </c>
      <c r="IM7" t="s">
        <v>120</v>
      </c>
    </row>
    <row r="8" spans="1:247" x14ac:dyDescent="0.3">
      <c r="A8" s="18">
        <v>46009</v>
      </c>
      <c r="B8" s="18">
        <v>46010</v>
      </c>
      <c r="C8" s="18">
        <v>46010</v>
      </c>
      <c r="D8" s="18">
        <v>46052</v>
      </c>
      <c r="E8">
        <v>1.993368</v>
      </c>
      <c r="F8" t="s">
        <v>119</v>
      </c>
      <c r="G8" t="s">
        <v>123</v>
      </c>
      <c r="I8" s="18">
        <v>46010</v>
      </c>
      <c r="J8" s="18">
        <v>46013</v>
      </c>
      <c r="K8" s="18">
        <v>46013</v>
      </c>
      <c r="L8" s="18">
        <v>46022</v>
      </c>
      <c r="M8">
        <v>0.79408000000000001</v>
      </c>
      <c r="N8" t="s">
        <v>119</v>
      </c>
      <c r="O8" t="s">
        <v>123</v>
      </c>
      <c r="Q8" s="18">
        <v>46010</v>
      </c>
      <c r="R8" s="18">
        <v>46013</v>
      </c>
      <c r="S8" s="18">
        <v>46013</v>
      </c>
      <c r="T8" s="18">
        <v>46015</v>
      </c>
      <c r="U8">
        <v>0.21882699999999999</v>
      </c>
      <c r="V8" t="s">
        <v>119</v>
      </c>
      <c r="W8" t="s">
        <v>123</v>
      </c>
      <c r="Y8" s="18">
        <v>45286</v>
      </c>
      <c r="Z8" s="18">
        <v>45287</v>
      </c>
      <c r="AA8" s="18">
        <v>45288</v>
      </c>
      <c r="AB8" s="18">
        <v>45289</v>
      </c>
      <c r="AC8">
        <v>-2.4245362661989844E-14</v>
      </c>
      <c r="AD8" t="s">
        <v>126</v>
      </c>
      <c r="AE8" t="s">
        <v>127</v>
      </c>
      <c r="AG8">
        <v>45960</v>
      </c>
      <c r="AH8">
        <v>45971</v>
      </c>
      <c r="AI8">
        <v>45971</v>
      </c>
      <c r="AJ8">
        <v>45974</v>
      </c>
      <c r="AK8">
        <v>0.26</v>
      </c>
      <c r="AL8" t="s">
        <v>119</v>
      </c>
      <c r="AM8" t="s">
        <v>120</v>
      </c>
      <c r="AW8" s="18">
        <v>45964</v>
      </c>
      <c r="AX8" s="18">
        <v>45999</v>
      </c>
      <c r="AY8" s="18">
        <v>45999</v>
      </c>
      <c r="AZ8" s="18">
        <v>46006</v>
      </c>
      <c r="BA8">
        <v>0.21</v>
      </c>
      <c r="BB8" t="s">
        <v>119</v>
      </c>
      <c r="BC8" t="s">
        <v>120</v>
      </c>
      <c r="BE8" s="18">
        <v>45994</v>
      </c>
      <c r="BF8" s="18">
        <v>46006</v>
      </c>
      <c r="BG8" s="18">
        <v>46006</v>
      </c>
      <c r="BH8" s="18">
        <v>46014</v>
      </c>
      <c r="BI8">
        <v>0.52500000000000002</v>
      </c>
      <c r="BJ8" t="s">
        <v>119</v>
      </c>
      <c r="BK8" t="s">
        <v>120</v>
      </c>
      <c r="BM8" s="18">
        <v>45993</v>
      </c>
      <c r="BN8" s="18">
        <v>46072</v>
      </c>
      <c r="BO8" s="18">
        <v>46072</v>
      </c>
      <c r="BP8" s="18">
        <v>46093</v>
      </c>
      <c r="BQ8">
        <v>0.91</v>
      </c>
      <c r="BR8" t="s">
        <v>119</v>
      </c>
      <c r="BS8" t="s">
        <v>120</v>
      </c>
      <c r="CC8" s="18">
        <v>45980</v>
      </c>
      <c r="CD8" s="18">
        <v>45995</v>
      </c>
      <c r="CE8" s="18">
        <v>45995</v>
      </c>
      <c r="CF8" s="18">
        <v>46017</v>
      </c>
      <c r="CG8">
        <v>0.01</v>
      </c>
      <c r="CH8" t="s">
        <v>119</v>
      </c>
      <c r="CI8" t="s">
        <v>120</v>
      </c>
      <c r="DA8" s="18">
        <v>45973</v>
      </c>
      <c r="DB8" s="18">
        <v>46098</v>
      </c>
      <c r="DC8" s="18">
        <v>46098</v>
      </c>
      <c r="DD8" s="18">
        <v>46121</v>
      </c>
      <c r="DE8">
        <v>0.741788</v>
      </c>
      <c r="DF8" t="s">
        <v>119</v>
      </c>
      <c r="DG8" t="s">
        <v>120</v>
      </c>
      <c r="DI8" s="18">
        <v>46002</v>
      </c>
      <c r="DJ8" s="18">
        <v>46013</v>
      </c>
      <c r="DK8" s="18">
        <v>46013</v>
      </c>
      <c r="DL8" s="18">
        <v>46022</v>
      </c>
      <c r="DM8">
        <v>0.65</v>
      </c>
      <c r="DN8" t="s">
        <v>119</v>
      </c>
      <c r="DO8" t="s">
        <v>120</v>
      </c>
      <c r="DY8" s="18">
        <v>45923</v>
      </c>
      <c r="DZ8" s="18">
        <v>45933</v>
      </c>
      <c r="EA8" s="18">
        <v>45933</v>
      </c>
      <c r="EB8" s="18">
        <v>45951</v>
      </c>
      <c r="EC8">
        <v>0.115</v>
      </c>
      <c r="ED8" t="s">
        <v>119</v>
      </c>
      <c r="EE8" t="s">
        <v>120</v>
      </c>
      <c r="FU8" s="18">
        <v>46001</v>
      </c>
      <c r="FV8" s="18">
        <v>46031</v>
      </c>
      <c r="FW8" s="18">
        <v>46031</v>
      </c>
      <c r="FX8" s="18">
        <v>46045</v>
      </c>
      <c r="FY8">
        <v>0.5</v>
      </c>
      <c r="FZ8" t="s">
        <v>119</v>
      </c>
      <c r="GA8" t="s">
        <v>120</v>
      </c>
      <c r="GC8" s="18">
        <v>45995</v>
      </c>
      <c r="GD8" s="18">
        <v>46009</v>
      </c>
      <c r="GE8" s="18">
        <v>46009</v>
      </c>
      <c r="GF8" s="18">
        <v>46030</v>
      </c>
      <c r="GG8">
        <v>0.41599999999999998</v>
      </c>
      <c r="GH8" t="s">
        <v>119</v>
      </c>
      <c r="GI8" t="s">
        <v>120</v>
      </c>
      <c r="HA8" s="18">
        <v>45957</v>
      </c>
      <c r="HB8" s="18">
        <v>45975</v>
      </c>
      <c r="HC8" s="18">
        <v>45975</v>
      </c>
      <c r="HD8" s="18">
        <v>46001</v>
      </c>
      <c r="HE8">
        <v>1.5</v>
      </c>
      <c r="HF8" t="s">
        <v>119</v>
      </c>
      <c r="HG8" t="s">
        <v>120</v>
      </c>
      <c r="HI8" s="18">
        <v>45968</v>
      </c>
      <c r="HJ8" s="18">
        <v>45999</v>
      </c>
      <c r="HK8" s="18">
        <v>45999</v>
      </c>
      <c r="HL8" s="18">
        <v>46007</v>
      </c>
      <c r="HM8">
        <v>2.21</v>
      </c>
      <c r="HN8" t="s">
        <v>119</v>
      </c>
      <c r="HO8" t="s">
        <v>120</v>
      </c>
      <c r="HQ8" s="18">
        <v>46000</v>
      </c>
      <c r="HR8" s="18">
        <v>46028</v>
      </c>
      <c r="HS8" s="18">
        <v>46028</v>
      </c>
      <c r="HT8" s="18">
        <v>46053</v>
      </c>
      <c r="HU8">
        <v>1.5</v>
      </c>
      <c r="HV8" t="s">
        <v>119</v>
      </c>
      <c r="HW8" t="s">
        <v>120</v>
      </c>
      <c r="HY8" s="18">
        <v>45945</v>
      </c>
      <c r="HZ8" s="18">
        <v>45961</v>
      </c>
      <c r="IA8" s="18">
        <v>45961</v>
      </c>
      <c r="IB8" s="18">
        <v>45975</v>
      </c>
      <c r="IC8">
        <v>1.3</v>
      </c>
      <c r="ID8" t="s">
        <v>119</v>
      </c>
      <c r="IE8" t="s">
        <v>120</v>
      </c>
      <c r="IG8" s="18">
        <v>45961</v>
      </c>
      <c r="IH8" s="18">
        <v>45975</v>
      </c>
      <c r="II8" s="18">
        <v>45975</v>
      </c>
      <c r="IJ8" s="18">
        <v>46001</v>
      </c>
      <c r="IK8">
        <v>1.03</v>
      </c>
      <c r="IL8" t="s">
        <v>119</v>
      </c>
      <c r="IM8" t="s">
        <v>120</v>
      </c>
    </row>
    <row r="9" spans="1:247" x14ac:dyDescent="0.3">
      <c r="A9" s="18">
        <v>45918</v>
      </c>
      <c r="B9" s="18">
        <v>45919</v>
      </c>
      <c r="C9" s="18">
        <v>45919</v>
      </c>
      <c r="D9" s="18">
        <v>45961</v>
      </c>
      <c r="E9">
        <v>1.8311139999999999</v>
      </c>
      <c r="F9" t="s">
        <v>119</v>
      </c>
      <c r="G9" t="s">
        <v>123</v>
      </c>
      <c r="I9" s="18">
        <v>45919</v>
      </c>
      <c r="J9" s="18">
        <v>45922</v>
      </c>
      <c r="K9" s="18">
        <v>45922</v>
      </c>
      <c r="L9" s="18">
        <v>45961</v>
      </c>
      <c r="M9">
        <v>0.69394999999999996</v>
      </c>
      <c r="N9" t="s">
        <v>119</v>
      </c>
      <c r="O9" t="s">
        <v>123</v>
      </c>
      <c r="Q9" s="18">
        <v>45981</v>
      </c>
      <c r="R9" s="18">
        <v>45996</v>
      </c>
      <c r="S9" s="18">
        <v>45993</v>
      </c>
      <c r="T9" s="18">
        <v>45995</v>
      </c>
      <c r="U9">
        <v>2</v>
      </c>
      <c r="V9" t="s">
        <v>121</v>
      </c>
      <c r="W9" t="s">
        <v>122</v>
      </c>
      <c r="Y9" s="18">
        <v>45275</v>
      </c>
      <c r="Z9" s="18">
        <v>45278</v>
      </c>
      <c r="AA9" s="18">
        <v>45279</v>
      </c>
      <c r="AB9" s="18">
        <v>45282</v>
      </c>
      <c r="AC9">
        <v>1.0427</v>
      </c>
      <c r="AD9" t="s">
        <v>126</v>
      </c>
      <c r="AE9" t="s">
        <v>123</v>
      </c>
      <c r="AG9">
        <v>45869</v>
      </c>
      <c r="AH9">
        <v>45880</v>
      </c>
      <c r="AI9">
        <v>45880</v>
      </c>
      <c r="AJ9">
        <v>45883</v>
      </c>
      <c r="AK9">
        <v>0.26</v>
      </c>
      <c r="AL9" t="s">
        <v>119</v>
      </c>
      <c r="AM9" t="s">
        <v>120</v>
      </c>
      <c r="AW9" s="18">
        <v>45861</v>
      </c>
      <c r="AX9" s="18">
        <v>45908</v>
      </c>
      <c r="AY9" s="18">
        <v>45908</v>
      </c>
      <c r="AZ9" s="18">
        <v>45915</v>
      </c>
      <c r="BA9">
        <v>0.21</v>
      </c>
      <c r="BB9" t="s">
        <v>119</v>
      </c>
      <c r="BC9" t="s">
        <v>120</v>
      </c>
      <c r="BE9" s="18">
        <v>45911</v>
      </c>
      <c r="BF9" s="18">
        <v>45922</v>
      </c>
      <c r="BG9" s="18">
        <v>45922</v>
      </c>
      <c r="BH9" s="18">
        <v>45929</v>
      </c>
      <c r="BI9">
        <v>0.52500000000000002</v>
      </c>
      <c r="BJ9" t="s">
        <v>119</v>
      </c>
      <c r="BK9" t="s">
        <v>120</v>
      </c>
      <c r="BM9" s="18">
        <v>45915</v>
      </c>
      <c r="BN9" s="18">
        <v>45981</v>
      </c>
      <c r="BO9" s="18">
        <v>45981</v>
      </c>
      <c r="BP9" s="18">
        <v>46002</v>
      </c>
      <c r="BQ9">
        <v>0.91</v>
      </c>
      <c r="BR9" t="s">
        <v>119</v>
      </c>
      <c r="BS9" t="s">
        <v>120</v>
      </c>
      <c r="CC9" s="18">
        <v>45896</v>
      </c>
      <c r="CD9" s="18">
        <v>45911</v>
      </c>
      <c r="CE9" s="18">
        <v>45911</v>
      </c>
      <c r="CF9" s="18">
        <v>45932</v>
      </c>
      <c r="CG9">
        <v>0.01</v>
      </c>
      <c r="CH9" t="s">
        <v>119</v>
      </c>
      <c r="CI9" t="s">
        <v>120</v>
      </c>
      <c r="DA9" s="18">
        <v>45881</v>
      </c>
      <c r="DB9" s="18">
        <v>46002</v>
      </c>
      <c r="DC9" s="18">
        <v>46002</v>
      </c>
      <c r="DD9" s="18">
        <v>46030</v>
      </c>
      <c r="DE9">
        <v>0.628382</v>
      </c>
      <c r="DF9" t="s">
        <v>119</v>
      </c>
      <c r="DG9" t="s">
        <v>120</v>
      </c>
      <c r="DI9" s="18">
        <v>45904</v>
      </c>
      <c r="DJ9" s="18">
        <v>45922</v>
      </c>
      <c r="DK9" s="18">
        <v>45922</v>
      </c>
      <c r="DL9" s="18">
        <v>45930</v>
      </c>
      <c r="DM9">
        <v>0.59</v>
      </c>
      <c r="DN9" t="s">
        <v>119</v>
      </c>
      <c r="DO9" t="s">
        <v>120</v>
      </c>
      <c r="DY9" s="18">
        <v>45833</v>
      </c>
      <c r="DZ9" s="18">
        <v>45845</v>
      </c>
      <c r="EA9" s="18">
        <v>45845</v>
      </c>
      <c r="EB9" s="18">
        <v>45860</v>
      </c>
      <c r="EC9">
        <v>0.115</v>
      </c>
      <c r="ED9" t="s">
        <v>119</v>
      </c>
      <c r="EE9" t="s">
        <v>120</v>
      </c>
      <c r="FU9" s="18">
        <v>45909</v>
      </c>
      <c r="FV9" s="18">
        <v>45939</v>
      </c>
      <c r="FW9" s="18">
        <v>45939</v>
      </c>
      <c r="FX9" s="18">
        <v>45953</v>
      </c>
      <c r="FY9">
        <v>0.5</v>
      </c>
      <c r="FZ9" t="s">
        <v>119</v>
      </c>
      <c r="GA9" t="s">
        <v>120</v>
      </c>
      <c r="GC9" s="18">
        <v>45904</v>
      </c>
      <c r="GD9" s="18">
        <v>45917</v>
      </c>
      <c r="GE9" s="18">
        <v>45917</v>
      </c>
      <c r="GF9" s="18">
        <v>45939</v>
      </c>
      <c r="GG9">
        <v>0.41599999999999998</v>
      </c>
      <c r="GH9" t="s">
        <v>119</v>
      </c>
      <c r="GI9" t="s">
        <v>120</v>
      </c>
      <c r="HA9" s="18">
        <v>45831</v>
      </c>
      <c r="HB9" s="18">
        <v>45884</v>
      </c>
      <c r="HC9" s="18">
        <v>45884</v>
      </c>
      <c r="HD9" s="18">
        <v>45910</v>
      </c>
      <c r="HE9">
        <v>1.5</v>
      </c>
      <c r="HF9" t="s">
        <v>119</v>
      </c>
      <c r="HG9" t="s">
        <v>120</v>
      </c>
      <c r="HI9" s="18">
        <v>45882</v>
      </c>
      <c r="HJ9" s="18">
        <v>45915</v>
      </c>
      <c r="HK9" s="18">
        <v>45915</v>
      </c>
      <c r="HL9" s="18">
        <v>45923</v>
      </c>
      <c r="HM9">
        <v>2.21</v>
      </c>
      <c r="HN9" t="s">
        <v>119</v>
      </c>
      <c r="HO9" t="s">
        <v>120</v>
      </c>
      <c r="HQ9" s="18">
        <v>45916</v>
      </c>
      <c r="HR9" s="18">
        <v>45936</v>
      </c>
      <c r="HS9" s="18">
        <v>45936</v>
      </c>
      <c r="HT9" s="18">
        <v>45961</v>
      </c>
      <c r="HU9">
        <v>1.5</v>
      </c>
      <c r="HV9" t="s">
        <v>119</v>
      </c>
      <c r="HW9" t="s">
        <v>120</v>
      </c>
      <c r="HY9" s="18">
        <v>45854</v>
      </c>
      <c r="HZ9" s="18">
        <v>45870</v>
      </c>
      <c r="IA9" s="18">
        <v>45870</v>
      </c>
      <c r="IB9" s="18">
        <v>45884</v>
      </c>
      <c r="IC9">
        <v>1.3</v>
      </c>
      <c r="ID9" t="s">
        <v>119</v>
      </c>
      <c r="IE9" t="s">
        <v>120</v>
      </c>
      <c r="IG9" s="18">
        <v>45870</v>
      </c>
      <c r="IH9" s="18">
        <v>45884</v>
      </c>
      <c r="II9" s="18">
        <v>45884</v>
      </c>
      <c r="IJ9" s="18">
        <v>45910</v>
      </c>
      <c r="IK9">
        <v>0.99</v>
      </c>
      <c r="IL9" t="s">
        <v>119</v>
      </c>
      <c r="IM9" t="s">
        <v>120</v>
      </c>
    </row>
    <row r="10" spans="1:247" x14ac:dyDescent="0.3">
      <c r="A10" s="18">
        <v>45826</v>
      </c>
      <c r="B10" s="18">
        <v>45828</v>
      </c>
      <c r="C10" s="18">
        <v>45828</v>
      </c>
      <c r="D10" s="18">
        <v>45869</v>
      </c>
      <c r="E10">
        <v>1.761117</v>
      </c>
      <c r="F10" t="s">
        <v>119</v>
      </c>
      <c r="G10" t="s">
        <v>123</v>
      </c>
      <c r="I10" s="18">
        <v>45828</v>
      </c>
      <c r="J10" s="18">
        <v>45831</v>
      </c>
      <c r="K10" s="18">
        <v>45831</v>
      </c>
      <c r="L10" s="18">
        <v>45869</v>
      </c>
      <c r="M10">
        <v>0.59111000000000002</v>
      </c>
      <c r="N10" t="s">
        <v>119</v>
      </c>
      <c r="O10" t="s">
        <v>123</v>
      </c>
      <c r="Q10" s="18">
        <v>45919</v>
      </c>
      <c r="R10" s="18">
        <v>45922</v>
      </c>
      <c r="S10" s="18">
        <v>45922</v>
      </c>
      <c r="T10" s="18">
        <v>45924</v>
      </c>
      <c r="U10">
        <v>0.17893400000000001</v>
      </c>
      <c r="V10" t="s">
        <v>119</v>
      </c>
      <c r="W10" t="s">
        <v>123</v>
      </c>
      <c r="Y10" s="18">
        <v>45027</v>
      </c>
      <c r="Z10" s="18">
        <v>45051</v>
      </c>
      <c r="AA10" s="18">
        <v>45049</v>
      </c>
      <c r="AB10" s="18">
        <v>45050</v>
      </c>
      <c r="AC10">
        <v>2</v>
      </c>
      <c r="AD10" t="s">
        <v>121</v>
      </c>
      <c r="AE10" t="s">
        <v>122</v>
      </c>
      <c r="AG10">
        <v>45778</v>
      </c>
      <c r="AH10">
        <v>45789</v>
      </c>
      <c r="AI10">
        <v>45789</v>
      </c>
      <c r="AJ10">
        <v>45792</v>
      </c>
      <c r="AK10">
        <v>0.26</v>
      </c>
      <c r="AL10" t="s">
        <v>119</v>
      </c>
      <c r="AM10" t="s">
        <v>120</v>
      </c>
      <c r="AW10" s="18">
        <v>45771</v>
      </c>
      <c r="AX10" s="18">
        <v>45817</v>
      </c>
      <c r="AY10" s="18">
        <v>45817</v>
      </c>
      <c r="AZ10" s="18">
        <v>45824</v>
      </c>
      <c r="BA10">
        <v>0.21</v>
      </c>
      <c r="BB10" t="s">
        <v>119</v>
      </c>
      <c r="BC10" t="s">
        <v>120</v>
      </c>
      <c r="BE10" s="18">
        <v>45806</v>
      </c>
      <c r="BF10" s="18">
        <v>45824</v>
      </c>
      <c r="BG10" s="18">
        <v>45824</v>
      </c>
      <c r="BH10" s="18">
        <v>45834</v>
      </c>
      <c r="BI10">
        <v>0.52500000000000002</v>
      </c>
      <c r="BJ10" t="s">
        <v>119</v>
      </c>
      <c r="BK10" t="s">
        <v>120</v>
      </c>
      <c r="BM10" s="18">
        <v>45818</v>
      </c>
      <c r="BN10" s="18">
        <v>45890</v>
      </c>
      <c r="BO10" s="18">
        <v>45890</v>
      </c>
      <c r="BP10" s="18">
        <v>45911</v>
      </c>
      <c r="BQ10">
        <v>0.83</v>
      </c>
      <c r="BR10" t="s">
        <v>119</v>
      </c>
      <c r="BS10" t="s">
        <v>120</v>
      </c>
      <c r="CC10" s="18">
        <v>45805</v>
      </c>
      <c r="CD10" s="18">
        <v>45819</v>
      </c>
      <c r="CE10" s="18">
        <v>45819</v>
      </c>
      <c r="CF10" s="18">
        <v>45841</v>
      </c>
      <c r="CG10">
        <v>0.01</v>
      </c>
      <c r="CH10" t="s">
        <v>119</v>
      </c>
      <c r="CI10" t="s">
        <v>120</v>
      </c>
      <c r="DA10" s="18">
        <v>45790</v>
      </c>
      <c r="DB10" s="18">
        <v>45916</v>
      </c>
      <c r="DC10" s="18">
        <v>45916</v>
      </c>
      <c r="DD10" s="18">
        <v>45939</v>
      </c>
      <c r="DE10">
        <v>0.64935200000000004</v>
      </c>
      <c r="DF10" t="s">
        <v>119</v>
      </c>
      <c r="DG10" t="s">
        <v>120</v>
      </c>
      <c r="DI10" s="18">
        <v>45813</v>
      </c>
      <c r="DJ10" s="18">
        <v>45828</v>
      </c>
      <c r="DK10" s="18">
        <v>45828</v>
      </c>
      <c r="DL10" s="18">
        <v>45838</v>
      </c>
      <c r="DM10">
        <v>0.59</v>
      </c>
      <c r="DN10" t="s">
        <v>119</v>
      </c>
      <c r="DO10" t="s">
        <v>120</v>
      </c>
      <c r="DY10" s="18">
        <v>45736</v>
      </c>
      <c r="DZ10" s="18">
        <v>45747</v>
      </c>
      <c r="EA10" s="18">
        <v>45747</v>
      </c>
      <c r="EB10" s="18">
        <v>45762</v>
      </c>
      <c r="EC10">
        <v>0.115</v>
      </c>
      <c r="ED10" t="s">
        <v>119</v>
      </c>
      <c r="EE10" t="s">
        <v>120</v>
      </c>
      <c r="FU10" s="18">
        <v>45819</v>
      </c>
      <c r="FV10" s="18">
        <v>45848</v>
      </c>
      <c r="FW10" s="18">
        <v>45848</v>
      </c>
      <c r="FX10" s="18">
        <v>45862</v>
      </c>
      <c r="FY10">
        <v>0.5</v>
      </c>
      <c r="FZ10" t="s">
        <v>119</v>
      </c>
      <c r="GA10" t="s">
        <v>120</v>
      </c>
      <c r="GC10" s="18">
        <v>45813</v>
      </c>
      <c r="GD10" s="18">
        <v>45826</v>
      </c>
      <c r="GE10" s="18">
        <v>45826</v>
      </c>
      <c r="GF10" s="18">
        <v>45848</v>
      </c>
      <c r="GG10">
        <v>0.41599999999999998</v>
      </c>
      <c r="GH10" t="s">
        <v>119</v>
      </c>
      <c r="GI10" t="s">
        <v>120</v>
      </c>
      <c r="HA10" s="18">
        <v>45782</v>
      </c>
      <c r="HB10" s="18">
        <v>45793</v>
      </c>
      <c r="HC10" s="18">
        <v>45793</v>
      </c>
      <c r="HD10" s="18">
        <v>45818</v>
      </c>
      <c r="HE10">
        <v>1.5</v>
      </c>
      <c r="HF10" t="s">
        <v>119</v>
      </c>
      <c r="HG10" t="s">
        <v>120</v>
      </c>
      <c r="HI10" s="18">
        <v>45812</v>
      </c>
      <c r="HJ10" s="18">
        <v>45824</v>
      </c>
      <c r="HK10" s="18">
        <v>45824</v>
      </c>
      <c r="HL10" s="18">
        <v>45832</v>
      </c>
      <c r="HM10">
        <v>2.21</v>
      </c>
      <c r="HN10" t="s">
        <v>119</v>
      </c>
      <c r="HO10" t="s">
        <v>120</v>
      </c>
      <c r="HQ10" s="18">
        <v>45796</v>
      </c>
      <c r="HR10" s="18">
        <v>45841</v>
      </c>
      <c r="HS10" s="18">
        <v>45841</v>
      </c>
      <c r="HT10" s="18">
        <v>45869</v>
      </c>
      <c r="HU10">
        <v>1.4</v>
      </c>
      <c r="HV10" t="s">
        <v>119</v>
      </c>
      <c r="HW10" t="s">
        <v>120</v>
      </c>
      <c r="HY10" s="18">
        <v>45763</v>
      </c>
      <c r="HZ10" s="18">
        <v>45779</v>
      </c>
      <c r="IA10" s="18">
        <v>45779</v>
      </c>
      <c r="IB10" s="18">
        <v>45793</v>
      </c>
      <c r="IC10">
        <v>1.3</v>
      </c>
      <c r="ID10" t="s">
        <v>119</v>
      </c>
      <c r="IE10" t="s">
        <v>120</v>
      </c>
      <c r="IG10" s="18">
        <v>45779</v>
      </c>
      <c r="IH10" s="18">
        <v>45792</v>
      </c>
      <c r="II10" s="18">
        <v>45792</v>
      </c>
      <c r="IJ10" s="18">
        <v>45818</v>
      </c>
      <c r="IK10">
        <v>0.99</v>
      </c>
      <c r="IL10" t="s">
        <v>119</v>
      </c>
      <c r="IM10" t="s">
        <v>120</v>
      </c>
    </row>
    <row r="11" spans="1:247" x14ac:dyDescent="0.3">
      <c r="A11" s="18">
        <v>45736</v>
      </c>
      <c r="B11" s="18">
        <v>45737</v>
      </c>
      <c r="C11" s="18">
        <v>45737</v>
      </c>
      <c r="D11" s="18">
        <v>45777</v>
      </c>
      <c r="E11">
        <v>1.6955279999999999</v>
      </c>
      <c r="F11" t="s">
        <v>119</v>
      </c>
      <c r="G11" t="s">
        <v>123</v>
      </c>
      <c r="I11" s="18">
        <v>45737</v>
      </c>
      <c r="J11" s="18">
        <v>45740</v>
      </c>
      <c r="K11" s="18">
        <v>45740</v>
      </c>
      <c r="L11" s="18">
        <v>45777</v>
      </c>
      <c r="M11">
        <v>0.71570999999999996</v>
      </c>
      <c r="N11" t="s">
        <v>119</v>
      </c>
      <c r="O11" t="s">
        <v>123</v>
      </c>
      <c r="Q11" s="18">
        <v>45828</v>
      </c>
      <c r="R11" s="18">
        <v>45831</v>
      </c>
      <c r="S11" s="18">
        <v>45831</v>
      </c>
      <c r="T11" s="18">
        <v>45833</v>
      </c>
      <c r="U11">
        <v>0.19875399999999999</v>
      </c>
      <c r="V11" t="s">
        <v>119</v>
      </c>
      <c r="W11" t="s">
        <v>123</v>
      </c>
      <c r="Y11" s="18">
        <v>44911</v>
      </c>
      <c r="Z11" s="18">
        <v>44914</v>
      </c>
      <c r="AA11" s="18">
        <v>44915</v>
      </c>
      <c r="AB11" s="18">
        <v>44918</v>
      </c>
      <c r="AC11">
        <v>1.2004999999999999</v>
      </c>
      <c r="AD11" t="s">
        <v>126</v>
      </c>
      <c r="AE11" t="s">
        <v>123</v>
      </c>
      <c r="AG11">
        <v>45687</v>
      </c>
      <c r="AH11">
        <v>45698</v>
      </c>
      <c r="AI11">
        <v>45698</v>
      </c>
      <c r="AJ11">
        <v>45701</v>
      </c>
      <c r="AK11">
        <v>0.25</v>
      </c>
      <c r="AL11" t="s">
        <v>119</v>
      </c>
      <c r="AM11" t="s">
        <v>120</v>
      </c>
      <c r="AW11" s="18">
        <v>45692</v>
      </c>
      <c r="AX11" s="18">
        <v>45726</v>
      </c>
      <c r="AY11" s="18">
        <v>45726</v>
      </c>
      <c r="AZ11" s="18">
        <v>45733</v>
      </c>
      <c r="BA11">
        <v>0.2</v>
      </c>
      <c r="BB11" t="s">
        <v>119</v>
      </c>
      <c r="BC11" t="s">
        <v>120</v>
      </c>
      <c r="BE11" s="18">
        <v>45701</v>
      </c>
      <c r="BF11" s="18">
        <v>45730</v>
      </c>
      <c r="BG11" s="18">
        <v>45730</v>
      </c>
      <c r="BH11" s="18">
        <v>45742</v>
      </c>
      <c r="BI11">
        <v>0.52500000000000002</v>
      </c>
      <c r="BJ11" t="s">
        <v>119</v>
      </c>
      <c r="BK11" t="s">
        <v>120</v>
      </c>
      <c r="BM11" s="18">
        <v>45727</v>
      </c>
      <c r="BN11" s="18">
        <v>45792</v>
      </c>
      <c r="BO11" s="18">
        <v>45792</v>
      </c>
      <c r="BP11" s="18">
        <v>45820</v>
      </c>
      <c r="BQ11">
        <v>0.83</v>
      </c>
      <c r="BR11" t="s">
        <v>119</v>
      </c>
      <c r="BS11" t="s">
        <v>120</v>
      </c>
      <c r="CC11" s="18">
        <v>45714</v>
      </c>
      <c r="CD11" s="18">
        <v>45728</v>
      </c>
      <c r="CE11" s="18">
        <v>45728</v>
      </c>
      <c r="CF11" s="18">
        <v>45749</v>
      </c>
      <c r="CG11">
        <v>0.01</v>
      </c>
      <c r="CH11" t="s">
        <v>119</v>
      </c>
      <c r="CI11" t="s">
        <v>120</v>
      </c>
      <c r="DA11" s="18">
        <v>45700</v>
      </c>
      <c r="DB11" s="18">
        <v>45820</v>
      </c>
      <c r="DC11" s="18">
        <v>45820</v>
      </c>
      <c r="DD11" s="18">
        <v>45848</v>
      </c>
      <c r="DE11">
        <v>0.61644100000000002</v>
      </c>
      <c r="DF11" t="s">
        <v>119</v>
      </c>
      <c r="DG11" t="s">
        <v>120</v>
      </c>
      <c r="DI11" s="18">
        <v>45722</v>
      </c>
      <c r="DJ11" s="18">
        <v>45736</v>
      </c>
      <c r="DK11" s="18">
        <v>45736</v>
      </c>
      <c r="DL11" s="18">
        <v>45747</v>
      </c>
      <c r="DM11">
        <v>0.59</v>
      </c>
      <c r="DN11" t="s">
        <v>119</v>
      </c>
      <c r="DO11" t="s">
        <v>120</v>
      </c>
      <c r="DY11" s="18">
        <v>45644</v>
      </c>
      <c r="DZ11" s="18">
        <v>45656</v>
      </c>
      <c r="EA11" s="18">
        <v>45656</v>
      </c>
      <c r="EB11" s="18">
        <v>45672</v>
      </c>
      <c r="EC11">
        <v>0.115</v>
      </c>
      <c r="ED11" t="s">
        <v>119</v>
      </c>
      <c r="EE11" t="s">
        <v>120</v>
      </c>
      <c r="FU11" s="18">
        <v>45726</v>
      </c>
      <c r="FV11" s="18">
        <v>45757</v>
      </c>
      <c r="FW11" s="18">
        <v>45757</v>
      </c>
      <c r="FX11" s="18">
        <v>45770</v>
      </c>
      <c r="FY11">
        <v>0.5</v>
      </c>
      <c r="FZ11" t="s">
        <v>119</v>
      </c>
      <c r="GA11" t="s">
        <v>120</v>
      </c>
      <c r="GC11" s="18">
        <v>45743</v>
      </c>
      <c r="GD11" s="18">
        <v>45757</v>
      </c>
      <c r="GE11" s="18">
        <v>45757</v>
      </c>
      <c r="GF11" s="18">
        <v>45771</v>
      </c>
      <c r="GG11">
        <v>0.41599999999999998</v>
      </c>
      <c r="GH11" t="s">
        <v>119</v>
      </c>
      <c r="GI11" t="s">
        <v>120</v>
      </c>
      <c r="HA11" s="18">
        <v>45635</v>
      </c>
      <c r="HB11" s="18">
        <v>45702</v>
      </c>
      <c r="HC11" s="18">
        <v>45702</v>
      </c>
      <c r="HD11" s="18">
        <v>45726</v>
      </c>
      <c r="HE11">
        <v>1.5</v>
      </c>
      <c r="HF11" t="s">
        <v>119</v>
      </c>
      <c r="HG11" t="s">
        <v>120</v>
      </c>
      <c r="HI11" s="18">
        <v>45712</v>
      </c>
      <c r="HJ11" s="18">
        <v>45726</v>
      </c>
      <c r="HK11" s="18">
        <v>45726</v>
      </c>
      <c r="HL11" s="18">
        <v>45734</v>
      </c>
      <c r="HM11">
        <v>2.1</v>
      </c>
      <c r="HN11" t="s">
        <v>119</v>
      </c>
      <c r="HO11" t="s">
        <v>120</v>
      </c>
      <c r="HQ11" s="18">
        <v>45734</v>
      </c>
      <c r="HR11" s="18">
        <v>45751</v>
      </c>
      <c r="HS11" s="18">
        <v>45751</v>
      </c>
      <c r="HT11" s="18">
        <v>45777</v>
      </c>
      <c r="HU11">
        <v>1.4</v>
      </c>
      <c r="HV11" t="s">
        <v>119</v>
      </c>
      <c r="HW11" t="s">
        <v>120</v>
      </c>
      <c r="HY11" s="18">
        <v>45680</v>
      </c>
      <c r="HZ11" s="18">
        <v>45695</v>
      </c>
      <c r="IA11" s="18">
        <v>45695</v>
      </c>
      <c r="IB11" s="18">
        <v>45709</v>
      </c>
      <c r="IC11">
        <v>1.1599999999999999</v>
      </c>
      <c r="ID11" t="s">
        <v>119</v>
      </c>
      <c r="IE11" t="s">
        <v>120</v>
      </c>
      <c r="IG11" s="18">
        <v>45688</v>
      </c>
      <c r="IH11" s="18">
        <v>45700</v>
      </c>
      <c r="II11" s="18">
        <v>45700</v>
      </c>
      <c r="IJ11" s="18">
        <v>45726</v>
      </c>
      <c r="IK11">
        <v>0.99</v>
      </c>
      <c r="IL11" t="s">
        <v>119</v>
      </c>
      <c r="IM11" t="s">
        <v>120</v>
      </c>
    </row>
    <row r="12" spans="1:247" x14ac:dyDescent="0.3">
      <c r="A12" s="18">
        <v>45645</v>
      </c>
      <c r="B12" s="18">
        <v>45646</v>
      </c>
      <c r="C12" s="18">
        <v>45646</v>
      </c>
      <c r="D12" s="18">
        <v>45688</v>
      </c>
      <c r="E12">
        <v>1.9655480000000001</v>
      </c>
      <c r="F12" t="s">
        <v>119</v>
      </c>
      <c r="G12" t="s">
        <v>123</v>
      </c>
      <c r="I12" s="18">
        <v>45646</v>
      </c>
      <c r="J12" s="18">
        <v>45649</v>
      </c>
      <c r="K12" s="18">
        <v>45649</v>
      </c>
      <c r="L12" s="18">
        <v>45657</v>
      </c>
      <c r="M12">
        <v>0.83465999999999996</v>
      </c>
      <c r="N12" t="s">
        <v>119</v>
      </c>
      <c r="O12" t="s">
        <v>123</v>
      </c>
      <c r="Q12" s="18">
        <v>45737</v>
      </c>
      <c r="R12" s="18">
        <v>45740</v>
      </c>
      <c r="S12" s="18">
        <v>45740</v>
      </c>
      <c r="T12" s="18">
        <v>45742</v>
      </c>
      <c r="U12">
        <v>0.187446</v>
      </c>
      <c r="V12" t="s">
        <v>119</v>
      </c>
      <c r="W12" t="s">
        <v>123</v>
      </c>
      <c r="Y12" s="18">
        <v>44547</v>
      </c>
      <c r="Z12" s="18">
        <v>44550</v>
      </c>
      <c r="AA12" s="18">
        <v>44551</v>
      </c>
      <c r="AB12" s="18">
        <v>44557</v>
      </c>
      <c r="AC12">
        <v>0.78664999999999996</v>
      </c>
      <c r="AD12" t="s">
        <v>126</v>
      </c>
      <c r="AE12" t="s">
        <v>123</v>
      </c>
      <c r="AG12">
        <v>45596</v>
      </c>
      <c r="AH12">
        <v>45604</v>
      </c>
      <c r="AI12">
        <v>45607</v>
      </c>
      <c r="AJ12">
        <v>45610</v>
      </c>
      <c r="AK12">
        <v>0.25</v>
      </c>
      <c r="AL12" t="s">
        <v>119</v>
      </c>
      <c r="AM12" t="s">
        <v>120</v>
      </c>
      <c r="AW12" s="18">
        <v>45595</v>
      </c>
      <c r="AX12" s="18">
        <v>45635</v>
      </c>
      <c r="AY12" s="18">
        <v>45635</v>
      </c>
      <c r="AZ12" s="18">
        <v>45642</v>
      </c>
      <c r="BA12">
        <v>0.2</v>
      </c>
      <c r="BB12" t="s">
        <v>119</v>
      </c>
      <c r="BC12" t="s">
        <v>120</v>
      </c>
      <c r="BE12" s="18">
        <v>45631</v>
      </c>
      <c r="BF12" s="18">
        <v>45642</v>
      </c>
      <c r="BG12" s="18">
        <v>45642</v>
      </c>
      <c r="BH12" s="18">
        <v>45653</v>
      </c>
      <c r="BI12">
        <v>0.5</v>
      </c>
      <c r="BJ12" t="s">
        <v>119</v>
      </c>
      <c r="BK12" t="s">
        <v>120</v>
      </c>
      <c r="BM12" s="18">
        <v>45629</v>
      </c>
      <c r="BN12" s="18">
        <v>45708</v>
      </c>
      <c r="BO12" s="18">
        <v>45708</v>
      </c>
      <c r="BP12" s="18">
        <v>45729</v>
      </c>
      <c r="BQ12">
        <v>0.83</v>
      </c>
      <c r="BR12" t="s">
        <v>119</v>
      </c>
      <c r="BS12" t="s">
        <v>120</v>
      </c>
      <c r="CC12" s="18">
        <v>45616</v>
      </c>
      <c r="CD12" s="18">
        <v>45631</v>
      </c>
      <c r="CE12" s="18">
        <v>45631</v>
      </c>
      <c r="CF12" s="18">
        <v>45653</v>
      </c>
      <c r="CG12">
        <v>0.01</v>
      </c>
      <c r="CH12" t="s">
        <v>119</v>
      </c>
      <c r="CI12" t="s">
        <v>120</v>
      </c>
      <c r="DA12" s="18">
        <v>45608</v>
      </c>
      <c r="DB12" s="18">
        <v>45734</v>
      </c>
      <c r="DC12" s="18">
        <v>45734</v>
      </c>
      <c r="DD12" s="18">
        <v>45757</v>
      </c>
      <c r="DE12">
        <v>0.53537699999999999</v>
      </c>
      <c r="DF12" t="s">
        <v>119</v>
      </c>
      <c r="DG12" t="s">
        <v>120</v>
      </c>
      <c r="DI12" s="18">
        <v>45638</v>
      </c>
      <c r="DJ12" s="18">
        <v>45649</v>
      </c>
      <c r="DK12" s="18">
        <v>45649</v>
      </c>
      <c r="DL12" s="18">
        <v>45657</v>
      </c>
      <c r="DM12">
        <v>0.59</v>
      </c>
      <c r="DN12" t="s">
        <v>119</v>
      </c>
      <c r="DO12" t="s">
        <v>120</v>
      </c>
      <c r="DY12" s="18">
        <v>45560</v>
      </c>
      <c r="DZ12" s="18">
        <v>45572</v>
      </c>
      <c r="EA12" s="18">
        <v>45572</v>
      </c>
      <c r="EB12" s="18">
        <v>45588</v>
      </c>
      <c r="EC12">
        <v>0.115</v>
      </c>
      <c r="ED12" t="s">
        <v>119</v>
      </c>
      <c r="EE12" t="s">
        <v>120</v>
      </c>
      <c r="FU12" s="18">
        <v>45635</v>
      </c>
      <c r="FV12" s="18">
        <v>45667</v>
      </c>
      <c r="FW12" s="18">
        <v>45666</v>
      </c>
      <c r="FX12" s="18">
        <v>45680</v>
      </c>
      <c r="FY12">
        <v>0.4</v>
      </c>
      <c r="FZ12" t="s">
        <v>119</v>
      </c>
      <c r="GA12" t="s">
        <v>120</v>
      </c>
      <c r="GC12" s="18">
        <v>45631</v>
      </c>
      <c r="GD12" s="18">
        <v>45644</v>
      </c>
      <c r="GE12" s="18">
        <v>45644</v>
      </c>
      <c r="GF12" s="18">
        <v>45666</v>
      </c>
      <c r="GG12">
        <v>0.4</v>
      </c>
      <c r="GH12" t="s">
        <v>119</v>
      </c>
      <c r="GI12" t="s">
        <v>120</v>
      </c>
      <c r="HA12" s="18">
        <v>45593</v>
      </c>
      <c r="HB12" s="18">
        <v>45611</v>
      </c>
      <c r="HC12" s="18">
        <v>45611</v>
      </c>
      <c r="HD12" s="18">
        <v>45636</v>
      </c>
      <c r="HE12">
        <v>1.3</v>
      </c>
      <c r="HF12" t="s">
        <v>119</v>
      </c>
      <c r="HG12" t="s">
        <v>120</v>
      </c>
      <c r="HI12" s="18">
        <v>45602</v>
      </c>
      <c r="HJ12" s="18">
        <v>45635</v>
      </c>
      <c r="HK12" s="18">
        <v>45635</v>
      </c>
      <c r="HL12" s="18">
        <v>45643</v>
      </c>
      <c r="HM12">
        <v>2.1</v>
      </c>
      <c r="HN12" t="s">
        <v>119</v>
      </c>
      <c r="HO12" t="s">
        <v>120</v>
      </c>
      <c r="HQ12" s="18">
        <v>45635</v>
      </c>
      <c r="HR12" s="18">
        <v>45663</v>
      </c>
      <c r="HS12" s="18">
        <v>45663</v>
      </c>
      <c r="HT12" s="18">
        <v>45688</v>
      </c>
      <c r="HU12">
        <v>1.25</v>
      </c>
      <c r="HV12" t="s">
        <v>119</v>
      </c>
      <c r="HW12" t="s">
        <v>120</v>
      </c>
      <c r="HY12" s="18">
        <v>45581</v>
      </c>
      <c r="HZ12" s="18">
        <v>45597</v>
      </c>
      <c r="IA12" s="18">
        <v>45597</v>
      </c>
      <c r="IB12" s="18">
        <v>45611</v>
      </c>
      <c r="IC12">
        <v>1.1599999999999999</v>
      </c>
      <c r="ID12" t="s">
        <v>119</v>
      </c>
      <c r="IE12" t="s">
        <v>120</v>
      </c>
      <c r="IG12" s="18">
        <v>45597</v>
      </c>
      <c r="IH12" s="18">
        <v>45610</v>
      </c>
      <c r="II12" s="18">
        <v>45610</v>
      </c>
      <c r="IJ12" s="18">
        <v>45636</v>
      </c>
      <c r="IK12">
        <v>0.99</v>
      </c>
      <c r="IL12" t="s">
        <v>119</v>
      </c>
      <c r="IM12" t="s">
        <v>120</v>
      </c>
    </row>
    <row r="13" spans="1:247" x14ac:dyDescent="0.3">
      <c r="A13" s="18">
        <v>45554</v>
      </c>
      <c r="B13" s="18">
        <v>45555</v>
      </c>
      <c r="C13" s="18">
        <v>45555</v>
      </c>
      <c r="D13" s="18">
        <v>45596</v>
      </c>
      <c r="E13">
        <v>1.7455309999999999</v>
      </c>
      <c r="F13" t="s">
        <v>119</v>
      </c>
      <c r="G13" t="s">
        <v>123</v>
      </c>
      <c r="I13" s="18">
        <v>45556</v>
      </c>
      <c r="J13" s="18">
        <v>45558</v>
      </c>
      <c r="K13" s="18">
        <v>45558</v>
      </c>
      <c r="L13" s="18">
        <v>45596</v>
      </c>
      <c r="M13">
        <v>0.67686000000000002</v>
      </c>
      <c r="N13" t="s">
        <v>119</v>
      </c>
      <c r="O13" t="s">
        <v>123</v>
      </c>
      <c r="Q13" s="18">
        <v>45646</v>
      </c>
      <c r="R13" s="18">
        <v>45649</v>
      </c>
      <c r="S13" s="18">
        <v>45649</v>
      </c>
      <c r="T13" s="18">
        <v>45652</v>
      </c>
      <c r="U13">
        <v>0.19297900000000001</v>
      </c>
      <c r="V13" t="s">
        <v>119</v>
      </c>
      <c r="W13" t="s">
        <v>123</v>
      </c>
      <c r="Y13" s="18">
        <v>44183</v>
      </c>
      <c r="Z13" s="18">
        <v>44186</v>
      </c>
      <c r="AA13" s="18">
        <v>44187</v>
      </c>
      <c r="AB13" s="18">
        <v>44193</v>
      </c>
      <c r="AC13">
        <v>0.75109999999999999</v>
      </c>
      <c r="AD13" t="s">
        <v>126</v>
      </c>
      <c r="AE13" t="s">
        <v>123</v>
      </c>
      <c r="AG13">
        <v>45505</v>
      </c>
      <c r="AH13">
        <v>45516</v>
      </c>
      <c r="AI13">
        <v>45516</v>
      </c>
      <c r="AJ13">
        <v>45519</v>
      </c>
      <c r="AK13">
        <v>0.25</v>
      </c>
      <c r="AL13" t="s">
        <v>119</v>
      </c>
      <c r="AM13" t="s">
        <v>120</v>
      </c>
      <c r="AW13" s="18">
        <v>45498</v>
      </c>
      <c r="AX13" s="18">
        <v>45544</v>
      </c>
      <c r="AY13" s="18">
        <v>45544</v>
      </c>
      <c r="AZ13" s="18">
        <v>45551</v>
      </c>
      <c r="BA13">
        <v>0.2</v>
      </c>
      <c r="BB13" t="s">
        <v>119</v>
      </c>
      <c r="BC13" t="s">
        <v>120</v>
      </c>
      <c r="BE13" s="18">
        <v>45540</v>
      </c>
      <c r="BF13" s="18">
        <v>45551</v>
      </c>
      <c r="BG13" s="18">
        <v>45551</v>
      </c>
      <c r="BH13" s="18">
        <v>45561</v>
      </c>
      <c r="BI13">
        <v>0.5</v>
      </c>
      <c r="BJ13" t="s">
        <v>119</v>
      </c>
      <c r="BK13" t="s">
        <v>120</v>
      </c>
      <c r="BM13" s="18">
        <v>45551</v>
      </c>
      <c r="BN13" s="18">
        <v>45617</v>
      </c>
      <c r="BO13" s="18">
        <v>45617</v>
      </c>
      <c r="BP13" s="18">
        <v>45638</v>
      </c>
      <c r="BQ13">
        <v>0.83</v>
      </c>
      <c r="BR13" t="s">
        <v>119</v>
      </c>
      <c r="BS13" t="s">
        <v>120</v>
      </c>
      <c r="CC13" s="18">
        <v>45532</v>
      </c>
      <c r="CD13" s="18">
        <v>45547</v>
      </c>
      <c r="CE13" s="18">
        <v>45547</v>
      </c>
      <c r="CF13" s="18">
        <v>45568</v>
      </c>
      <c r="CG13">
        <v>0.01</v>
      </c>
      <c r="CH13" t="s">
        <v>119</v>
      </c>
      <c r="CI13" t="s">
        <v>120</v>
      </c>
      <c r="DA13" s="18">
        <v>45517</v>
      </c>
      <c r="DB13" s="18">
        <v>45638</v>
      </c>
      <c r="DC13" s="18">
        <v>45638</v>
      </c>
      <c r="DD13" s="18">
        <v>45666</v>
      </c>
      <c r="DE13">
        <v>0.480404</v>
      </c>
      <c r="DF13" t="s">
        <v>119</v>
      </c>
      <c r="DG13" t="s">
        <v>120</v>
      </c>
      <c r="DI13" s="18">
        <v>45540</v>
      </c>
      <c r="DJ13" s="18">
        <v>45554</v>
      </c>
      <c r="DK13" s="18">
        <v>45554</v>
      </c>
      <c r="DL13" s="18">
        <v>45565</v>
      </c>
      <c r="DM13">
        <v>0.53</v>
      </c>
      <c r="DN13" t="s">
        <v>119</v>
      </c>
      <c r="DO13" t="s">
        <v>120</v>
      </c>
      <c r="DY13" s="18">
        <v>45469</v>
      </c>
      <c r="DZ13" s="18">
        <v>45481</v>
      </c>
      <c r="EA13" s="18">
        <v>45481</v>
      </c>
      <c r="EB13" s="18">
        <v>45496</v>
      </c>
      <c r="EC13">
        <v>0.115</v>
      </c>
      <c r="ED13" t="s">
        <v>119</v>
      </c>
      <c r="EE13" t="s">
        <v>120</v>
      </c>
      <c r="FU13" s="18">
        <v>45544</v>
      </c>
      <c r="FV13" s="18">
        <v>45575</v>
      </c>
      <c r="FW13" s="18">
        <v>45575</v>
      </c>
      <c r="FX13" s="18">
        <v>45589</v>
      </c>
      <c r="FY13">
        <v>0.4</v>
      </c>
      <c r="FZ13" t="s">
        <v>119</v>
      </c>
      <c r="GA13" t="s">
        <v>120</v>
      </c>
      <c r="GC13" s="18">
        <v>45540</v>
      </c>
      <c r="GD13" s="18">
        <v>45553</v>
      </c>
      <c r="GE13" s="18">
        <v>45553</v>
      </c>
      <c r="GF13" s="18">
        <v>45573</v>
      </c>
      <c r="GG13">
        <v>0.4</v>
      </c>
      <c r="GH13" t="s">
        <v>119</v>
      </c>
      <c r="GI13" t="s">
        <v>120</v>
      </c>
      <c r="HA13" s="18">
        <v>45467</v>
      </c>
      <c r="HB13" s="18">
        <v>45519</v>
      </c>
      <c r="HC13" s="18">
        <v>45519</v>
      </c>
      <c r="HD13" s="18">
        <v>45545</v>
      </c>
      <c r="HE13">
        <v>1.3</v>
      </c>
      <c r="HF13" t="s">
        <v>119</v>
      </c>
      <c r="HG13" t="s">
        <v>120</v>
      </c>
      <c r="HI13" s="18">
        <v>45511</v>
      </c>
      <c r="HJ13" s="18">
        <v>45551</v>
      </c>
      <c r="HK13" s="18">
        <v>45551</v>
      </c>
      <c r="HL13" s="18">
        <v>45559</v>
      </c>
      <c r="HM13">
        <v>2.1</v>
      </c>
      <c r="HN13" t="s">
        <v>119</v>
      </c>
      <c r="HO13" t="s">
        <v>120</v>
      </c>
      <c r="HQ13" s="18">
        <v>45552</v>
      </c>
      <c r="HR13" s="18">
        <v>45569</v>
      </c>
      <c r="HS13" s="18">
        <v>45569</v>
      </c>
      <c r="HT13" s="18">
        <v>45596</v>
      </c>
      <c r="HU13">
        <v>1.25</v>
      </c>
      <c r="HV13" t="s">
        <v>119</v>
      </c>
      <c r="HW13" t="s">
        <v>120</v>
      </c>
      <c r="HY13" s="18">
        <v>45483</v>
      </c>
      <c r="HZ13" s="18">
        <v>45499</v>
      </c>
      <c r="IA13" s="18">
        <v>45499</v>
      </c>
      <c r="IB13" s="18">
        <v>45513</v>
      </c>
      <c r="IC13">
        <v>1.1599999999999999</v>
      </c>
      <c r="ID13" t="s">
        <v>119</v>
      </c>
      <c r="IE13" t="s">
        <v>120</v>
      </c>
      <c r="IG13" s="18">
        <v>45506</v>
      </c>
      <c r="IH13" s="18">
        <v>45519</v>
      </c>
      <c r="II13" s="18">
        <v>45519</v>
      </c>
      <c r="IJ13" s="18">
        <v>45545</v>
      </c>
      <c r="IK13">
        <v>0.95</v>
      </c>
      <c r="IL13" t="s">
        <v>119</v>
      </c>
      <c r="IM13" t="s">
        <v>120</v>
      </c>
    </row>
    <row r="14" spans="1:247" x14ac:dyDescent="0.3">
      <c r="A14" s="18">
        <v>45463</v>
      </c>
      <c r="B14" s="18">
        <v>45464</v>
      </c>
      <c r="C14" s="18">
        <v>45464</v>
      </c>
      <c r="D14" s="18">
        <v>45504</v>
      </c>
      <c r="E14">
        <v>1.7590239999999999</v>
      </c>
      <c r="F14" t="s">
        <v>119</v>
      </c>
      <c r="G14" t="s">
        <v>123</v>
      </c>
      <c r="I14" s="18">
        <v>45464</v>
      </c>
      <c r="J14" s="18">
        <v>45467</v>
      </c>
      <c r="K14" s="18">
        <v>45467</v>
      </c>
      <c r="L14" s="18">
        <v>45504</v>
      </c>
      <c r="M14">
        <v>0.76149999999999995</v>
      </c>
      <c r="N14" t="s">
        <v>119</v>
      </c>
      <c r="O14" t="s">
        <v>123</v>
      </c>
      <c r="Q14" s="18">
        <v>45555</v>
      </c>
      <c r="R14" s="18">
        <v>45558</v>
      </c>
      <c r="S14" s="18">
        <v>45558</v>
      </c>
      <c r="T14" s="18">
        <v>45560</v>
      </c>
      <c r="U14">
        <v>0.19925699999999999</v>
      </c>
      <c r="V14" t="s">
        <v>119</v>
      </c>
      <c r="W14" t="s">
        <v>123</v>
      </c>
      <c r="Y14" s="18">
        <v>43819</v>
      </c>
      <c r="Z14" s="18">
        <v>43822</v>
      </c>
      <c r="AA14" s="18">
        <v>43823</v>
      </c>
      <c r="AB14" s="18">
        <v>43829</v>
      </c>
      <c r="AC14">
        <v>1.0610999999999999</v>
      </c>
      <c r="AD14" t="s">
        <v>126</v>
      </c>
      <c r="AE14" t="s">
        <v>123</v>
      </c>
      <c r="AG14">
        <v>45414</v>
      </c>
      <c r="AH14">
        <v>45422</v>
      </c>
      <c r="AI14">
        <v>45425</v>
      </c>
      <c r="AJ14">
        <v>45428</v>
      </c>
      <c r="AK14">
        <v>0.25</v>
      </c>
      <c r="AL14" t="s">
        <v>119</v>
      </c>
      <c r="AM14" t="s">
        <v>120</v>
      </c>
      <c r="AW14" s="18">
        <v>45407</v>
      </c>
      <c r="AX14" s="18">
        <v>45453</v>
      </c>
      <c r="AY14" s="18">
        <v>45453</v>
      </c>
      <c r="AZ14" s="18">
        <v>45460</v>
      </c>
      <c r="BA14">
        <v>0.2</v>
      </c>
      <c r="BB14" t="s">
        <v>119</v>
      </c>
      <c r="BC14" t="s">
        <v>120</v>
      </c>
      <c r="BE14" s="18">
        <v>45442</v>
      </c>
      <c r="BF14" s="18">
        <v>45457</v>
      </c>
      <c r="BG14" s="18">
        <v>45457</v>
      </c>
      <c r="BH14" s="18">
        <v>45469</v>
      </c>
      <c r="BI14">
        <v>0.5</v>
      </c>
      <c r="BJ14" t="s">
        <v>119</v>
      </c>
      <c r="BK14" t="s">
        <v>120</v>
      </c>
      <c r="BM14" s="18">
        <v>45455</v>
      </c>
      <c r="BN14" s="18">
        <v>45519</v>
      </c>
      <c r="BO14" s="18">
        <v>45519</v>
      </c>
      <c r="BP14" s="18">
        <v>45547</v>
      </c>
      <c r="BQ14">
        <v>0.75</v>
      </c>
      <c r="BR14" t="s">
        <v>119</v>
      </c>
      <c r="BS14" t="s">
        <v>120</v>
      </c>
      <c r="CC14" s="18">
        <v>45434</v>
      </c>
      <c r="CD14" s="18">
        <v>45454</v>
      </c>
      <c r="CE14" s="18">
        <v>45454</v>
      </c>
      <c r="CF14" s="18">
        <v>45471</v>
      </c>
      <c r="CG14">
        <v>0.01</v>
      </c>
      <c r="CH14" t="s">
        <v>119</v>
      </c>
      <c r="CI14" t="s">
        <v>120</v>
      </c>
      <c r="DA14" s="18">
        <v>45422</v>
      </c>
      <c r="DB14" s="18">
        <v>45547</v>
      </c>
      <c r="DC14" s="18">
        <v>45547</v>
      </c>
      <c r="DD14" s="18">
        <v>45574</v>
      </c>
      <c r="DE14">
        <v>0.49361300000000002</v>
      </c>
      <c r="DF14" t="s">
        <v>119</v>
      </c>
      <c r="DG14" t="s">
        <v>120</v>
      </c>
      <c r="DI14" s="18">
        <v>45455</v>
      </c>
      <c r="DJ14" s="18">
        <v>45488</v>
      </c>
      <c r="DK14" s="18">
        <v>45484</v>
      </c>
      <c r="DL14" s="18">
        <v>45485</v>
      </c>
      <c r="DM14">
        <v>10</v>
      </c>
      <c r="DN14" t="s">
        <v>121</v>
      </c>
      <c r="DO14" t="s">
        <v>122</v>
      </c>
      <c r="DY14" s="18">
        <v>45371</v>
      </c>
      <c r="DZ14" s="18">
        <v>45379</v>
      </c>
      <c r="EA14" s="18">
        <v>45383</v>
      </c>
      <c r="EB14" s="18">
        <v>45398</v>
      </c>
      <c r="EC14">
        <v>0.115</v>
      </c>
      <c r="ED14" t="s">
        <v>119</v>
      </c>
      <c r="EE14" t="s">
        <v>120</v>
      </c>
      <c r="FU14" s="18">
        <v>45454</v>
      </c>
      <c r="FV14" s="18">
        <v>45484</v>
      </c>
      <c r="FW14" s="18">
        <v>45484</v>
      </c>
      <c r="FX14" s="18">
        <v>45498</v>
      </c>
      <c r="FY14">
        <v>0.4</v>
      </c>
      <c r="FZ14" t="s">
        <v>119</v>
      </c>
      <c r="GA14" t="s">
        <v>120</v>
      </c>
      <c r="GC14" s="18">
        <v>45470</v>
      </c>
      <c r="GD14" s="18">
        <v>45482</v>
      </c>
      <c r="GE14" s="18">
        <v>45482</v>
      </c>
      <c r="GF14" s="18">
        <v>45498</v>
      </c>
      <c r="GG14">
        <v>0.4</v>
      </c>
      <c r="GH14" t="s">
        <v>119</v>
      </c>
      <c r="GI14" t="s">
        <v>120</v>
      </c>
      <c r="HA14" s="18">
        <v>45418</v>
      </c>
      <c r="HB14" s="18">
        <v>45427</v>
      </c>
      <c r="HC14" s="18">
        <v>45428</v>
      </c>
      <c r="HD14" s="18">
        <v>45453</v>
      </c>
      <c r="HE14">
        <v>1.3</v>
      </c>
      <c r="HF14" t="s">
        <v>119</v>
      </c>
      <c r="HG14" t="s">
        <v>120</v>
      </c>
      <c r="HI14" s="18">
        <v>45448</v>
      </c>
      <c r="HJ14" s="18">
        <v>45460</v>
      </c>
      <c r="HK14" s="18">
        <v>45460</v>
      </c>
      <c r="HL14" s="18">
        <v>45468</v>
      </c>
      <c r="HM14">
        <v>2.1</v>
      </c>
      <c r="HN14" t="s">
        <v>119</v>
      </c>
      <c r="HO14" t="s">
        <v>120</v>
      </c>
      <c r="HQ14" s="18">
        <v>45432</v>
      </c>
      <c r="HR14" s="18">
        <v>45478</v>
      </c>
      <c r="HS14" s="18">
        <v>45478</v>
      </c>
      <c r="HT14" s="18">
        <v>45504</v>
      </c>
      <c r="HU14">
        <v>1.1499999999999999</v>
      </c>
      <c r="HV14" t="s">
        <v>119</v>
      </c>
      <c r="HW14" t="s">
        <v>120</v>
      </c>
      <c r="HY14" s="18">
        <v>45392</v>
      </c>
      <c r="HZ14" s="18">
        <v>45407</v>
      </c>
      <c r="IA14" s="18">
        <v>45408</v>
      </c>
      <c r="IB14" s="18">
        <v>45422</v>
      </c>
      <c r="IC14">
        <v>1.1599999999999999</v>
      </c>
      <c r="ID14" t="s">
        <v>119</v>
      </c>
      <c r="IE14" t="s">
        <v>120</v>
      </c>
      <c r="IG14" s="18">
        <v>45408</v>
      </c>
      <c r="IH14" s="18">
        <v>45426</v>
      </c>
      <c r="II14" s="18">
        <v>45427</v>
      </c>
      <c r="IJ14" s="18">
        <v>45453</v>
      </c>
      <c r="IK14">
        <v>0.95</v>
      </c>
      <c r="IL14" t="s">
        <v>119</v>
      </c>
      <c r="IM14" t="s">
        <v>120</v>
      </c>
    </row>
    <row r="15" spans="1:247" x14ac:dyDescent="0.3">
      <c r="A15" s="18">
        <v>45365</v>
      </c>
      <c r="B15" s="18">
        <v>45366</v>
      </c>
      <c r="C15" s="18">
        <v>45369</v>
      </c>
      <c r="D15" s="18">
        <v>45412</v>
      </c>
      <c r="E15">
        <v>1.594937</v>
      </c>
      <c r="F15" t="s">
        <v>119</v>
      </c>
      <c r="G15" t="s">
        <v>123</v>
      </c>
      <c r="I15" s="18">
        <v>45366</v>
      </c>
      <c r="J15" s="18">
        <v>45369</v>
      </c>
      <c r="K15" s="18">
        <v>45370</v>
      </c>
      <c r="L15" s="18">
        <v>45412</v>
      </c>
      <c r="M15">
        <v>0.57345000000000002</v>
      </c>
      <c r="N15" t="s">
        <v>119</v>
      </c>
      <c r="O15" t="s">
        <v>123</v>
      </c>
      <c r="Q15" s="18">
        <v>45464</v>
      </c>
      <c r="R15" s="18">
        <v>45467</v>
      </c>
      <c r="S15" s="18">
        <v>45467</v>
      </c>
      <c r="T15" s="18">
        <v>45469</v>
      </c>
      <c r="U15">
        <v>0.20000100000000001</v>
      </c>
      <c r="V15" t="s">
        <v>119</v>
      </c>
      <c r="W15" t="s">
        <v>123</v>
      </c>
      <c r="Y15" s="18">
        <v>43453</v>
      </c>
      <c r="Z15" s="18">
        <v>43454</v>
      </c>
      <c r="AA15" s="18">
        <v>43455</v>
      </c>
      <c r="AB15" s="18">
        <v>43461</v>
      </c>
      <c r="AC15">
        <v>0.81899999999999995</v>
      </c>
      <c r="AD15" t="s">
        <v>126</v>
      </c>
      <c r="AE15" t="s">
        <v>123</v>
      </c>
      <c r="AG15">
        <v>45323</v>
      </c>
      <c r="AH15">
        <v>45331</v>
      </c>
      <c r="AI15">
        <v>45334</v>
      </c>
      <c r="AJ15">
        <v>45337</v>
      </c>
      <c r="AK15">
        <v>0.24</v>
      </c>
      <c r="AL15" t="s">
        <v>119</v>
      </c>
      <c r="AM15" t="s">
        <v>120</v>
      </c>
      <c r="AW15" s="18">
        <v>44557</v>
      </c>
      <c r="AX15" s="18">
        <v>44760</v>
      </c>
      <c r="AY15" s="18">
        <v>44743</v>
      </c>
      <c r="AZ15" s="18">
        <v>44757</v>
      </c>
      <c r="BA15">
        <v>20</v>
      </c>
      <c r="BB15" t="s">
        <v>121</v>
      </c>
      <c r="BC15" t="s">
        <v>122</v>
      </c>
      <c r="BE15" s="18">
        <v>45323</v>
      </c>
      <c r="BF15" s="18">
        <v>45343</v>
      </c>
      <c r="BG15" s="18">
        <v>45344</v>
      </c>
      <c r="BH15" s="18">
        <v>45377</v>
      </c>
      <c r="BI15">
        <v>0.5</v>
      </c>
      <c r="BJ15" t="s">
        <v>119</v>
      </c>
      <c r="BK15" t="s">
        <v>120</v>
      </c>
      <c r="BM15" s="18">
        <v>45363</v>
      </c>
      <c r="BN15" s="18">
        <v>45427</v>
      </c>
      <c r="BO15" s="18">
        <v>45428</v>
      </c>
      <c r="BP15" s="18">
        <v>45456</v>
      </c>
      <c r="BQ15">
        <v>0.75</v>
      </c>
      <c r="BR15" t="s">
        <v>119</v>
      </c>
      <c r="BS15" t="s">
        <v>120</v>
      </c>
      <c r="CC15" s="18">
        <v>45434</v>
      </c>
      <c r="CD15" s="18">
        <v>45453</v>
      </c>
      <c r="CE15" s="18">
        <v>45449</v>
      </c>
      <c r="CF15" s="18">
        <v>45450</v>
      </c>
      <c r="CG15">
        <v>10</v>
      </c>
      <c r="CH15" t="s">
        <v>121</v>
      </c>
      <c r="CI15" t="s">
        <v>122</v>
      </c>
      <c r="DA15" s="18">
        <v>45328</v>
      </c>
      <c r="DB15" s="18">
        <v>45456</v>
      </c>
      <c r="DC15" s="18">
        <v>45456</v>
      </c>
      <c r="DD15" s="18">
        <v>45484</v>
      </c>
      <c r="DE15">
        <v>0.42653999999999997</v>
      </c>
      <c r="DF15" t="s">
        <v>119</v>
      </c>
      <c r="DG15" t="s">
        <v>120</v>
      </c>
      <c r="DI15" s="18">
        <v>45455</v>
      </c>
      <c r="DJ15" s="18">
        <v>45467</v>
      </c>
      <c r="DK15" s="18">
        <v>45467</v>
      </c>
      <c r="DL15" s="18">
        <v>45471</v>
      </c>
      <c r="DM15">
        <v>0.52500000000000002</v>
      </c>
      <c r="DN15" t="s">
        <v>119</v>
      </c>
      <c r="DO15" t="s">
        <v>120</v>
      </c>
      <c r="DY15" s="18">
        <v>45280</v>
      </c>
      <c r="DZ15" s="18">
        <v>45289</v>
      </c>
      <c r="EA15" s="18">
        <v>45293</v>
      </c>
      <c r="EB15" s="18">
        <v>45309</v>
      </c>
      <c r="EC15">
        <v>0.115</v>
      </c>
      <c r="ED15" t="s">
        <v>119</v>
      </c>
      <c r="EE15" t="s">
        <v>120</v>
      </c>
      <c r="FU15" s="18">
        <v>45362</v>
      </c>
      <c r="FV15" s="18">
        <v>45391</v>
      </c>
      <c r="FW15" s="18">
        <v>45392</v>
      </c>
      <c r="FX15" s="18">
        <v>45406</v>
      </c>
      <c r="FY15">
        <v>0.4</v>
      </c>
      <c r="FZ15" t="s">
        <v>119</v>
      </c>
      <c r="GA15" t="s">
        <v>120</v>
      </c>
      <c r="GC15" s="18">
        <v>45350</v>
      </c>
      <c r="GD15" s="18">
        <v>45364</v>
      </c>
      <c r="GE15" s="18">
        <v>45365</v>
      </c>
      <c r="GF15" s="18">
        <v>45393</v>
      </c>
      <c r="GG15">
        <v>0.4</v>
      </c>
      <c r="GH15" t="s">
        <v>119</v>
      </c>
      <c r="GI15" t="s">
        <v>120</v>
      </c>
      <c r="HA15" s="18">
        <v>45268</v>
      </c>
      <c r="HB15" s="18">
        <v>45336</v>
      </c>
      <c r="HC15" s="18">
        <v>45337</v>
      </c>
      <c r="HD15" s="18">
        <v>45359</v>
      </c>
      <c r="HE15">
        <v>1.3</v>
      </c>
      <c r="HF15" t="s">
        <v>119</v>
      </c>
      <c r="HG15" t="s">
        <v>120</v>
      </c>
      <c r="HI15" s="18">
        <v>45345</v>
      </c>
      <c r="HJ15" s="18">
        <v>45359</v>
      </c>
      <c r="HK15" s="18">
        <v>45362</v>
      </c>
      <c r="HL15" s="18">
        <v>45370</v>
      </c>
      <c r="HM15">
        <v>1.88</v>
      </c>
      <c r="HN15" t="s">
        <v>119</v>
      </c>
      <c r="HO15" t="s">
        <v>120</v>
      </c>
      <c r="HQ15" s="18">
        <v>45370</v>
      </c>
      <c r="HR15" s="18">
        <v>45386</v>
      </c>
      <c r="HS15" s="18">
        <v>45387</v>
      </c>
      <c r="HT15" s="18">
        <v>45412</v>
      </c>
      <c r="HU15">
        <v>1.1499999999999999</v>
      </c>
      <c r="HV15" t="s">
        <v>119</v>
      </c>
      <c r="HW15" t="s">
        <v>120</v>
      </c>
      <c r="HY15" s="18">
        <v>45309</v>
      </c>
      <c r="HZ15" s="18">
        <v>45323</v>
      </c>
      <c r="IA15" s="18">
        <v>45324</v>
      </c>
      <c r="IB15" s="18">
        <v>45338</v>
      </c>
      <c r="IC15">
        <v>1.02</v>
      </c>
      <c r="ID15" t="s">
        <v>119</v>
      </c>
      <c r="IE15" t="s">
        <v>120</v>
      </c>
      <c r="IG15" s="18">
        <v>45324</v>
      </c>
      <c r="IH15" s="18">
        <v>45335</v>
      </c>
      <c r="II15" s="18">
        <v>45336</v>
      </c>
      <c r="IJ15" s="18">
        <v>45362</v>
      </c>
      <c r="IK15">
        <v>0.95</v>
      </c>
      <c r="IL15" t="s">
        <v>119</v>
      </c>
      <c r="IM15" t="s">
        <v>120</v>
      </c>
    </row>
    <row r="16" spans="1:247" x14ac:dyDescent="0.3">
      <c r="A16" s="18">
        <v>45274</v>
      </c>
      <c r="B16" s="18">
        <v>45275</v>
      </c>
      <c r="C16" s="18">
        <v>45278</v>
      </c>
      <c r="D16" s="18">
        <v>45322</v>
      </c>
      <c r="E16">
        <v>1.9060729999999999</v>
      </c>
      <c r="F16" t="s">
        <v>119</v>
      </c>
      <c r="G16" t="s">
        <v>123</v>
      </c>
      <c r="I16" s="18">
        <v>45286</v>
      </c>
      <c r="J16" s="18">
        <v>45287</v>
      </c>
      <c r="K16" s="18">
        <v>45288</v>
      </c>
      <c r="L16" s="18">
        <v>45306</v>
      </c>
      <c r="M16">
        <v>0.21584</v>
      </c>
      <c r="N16" t="s">
        <v>121</v>
      </c>
      <c r="O16" t="s">
        <v>124</v>
      </c>
      <c r="Q16" s="18">
        <v>45366</v>
      </c>
      <c r="R16" s="18">
        <v>45369</v>
      </c>
      <c r="S16" s="18">
        <v>45370</v>
      </c>
      <c r="T16" s="18">
        <v>45372</v>
      </c>
      <c r="U16">
        <v>0.1696</v>
      </c>
      <c r="V16" t="s">
        <v>119</v>
      </c>
      <c r="W16" t="s">
        <v>123</v>
      </c>
      <c r="Y16" s="18">
        <v>43084</v>
      </c>
      <c r="Z16" s="18">
        <v>43087</v>
      </c>
      <c r="AA16" s="18">
        <v>43088</v>
      </c>
      <c r="AB16" s="18">
        <v>43091</v>
      </c>
      <c r="AC16">
        <v>0.69799999999999995</v>
      </c>
      <c r="AD16" t="s">
        <v>126</v>
      </c>
      <c r="AE16" t="s">
        <v>123</v>
      </c>
      <c r="AG16">
        <v>45232</v>
      </c>
      <c r="AH16">
        <v>45240</v>
      </c>
      <c r="AI16">
        <v>45243</v>
      </c>
      <c r="AJ16">
        <v>45246</v>
      </c>
      <c r="AK16">
        <v>0.24</v>
      </c>
      <c r="AL16" t="s">
        <v>119</v>
      </c>
      <c r="AM16" t="s">
        <v>120</v>
      </c>
      <c r="AW16" s="18">
        <v>41011</v>
      </c>
      <c r="AX16" s="18">
        <v>41732</v>
      </c>
      <c r="AY16" s="18">
        <v>41725</v>
      </c>
      <c r="AZ16" s="18">
        <v>41731</v>
      </c>
      <c r="BA16">
        <v>1</v>
      </c>
      <c r="BB16" t="s">
        <v>121</v>
      </c>
      <c r="BC16" t="s">
        <v>128</v>
      </c>
      <c r="BE16" s="18">
        <v>40940</v>
      </c>
      <c r="BF16" s="18">
        <v>40482</v>
      </c>
      <c r="BG16" s="18" t="s">
        <v>125</v>
      </c>
      <c r="BH16" s="18" t="s">
        <v>125</v>
      </c>
      <c r="BI16">
        <v>5</v>
      </c>
      <c r="BJ16" t="s">
        <v>121</v>
      </c>
      <c r="BK16" t="s">
        <v>122</v>
      </c>
      <c r="BM16" s="18">
        <v>45258</v>
      </c>
      <c r="BN16" s="18">
        <v>45336</v>
      </c>
      <c r="BO16" s="18">
        <v>45337</v>
      </c>
      <c r="BP16" s="18">
        <v>45365</v>
      </c>
      <c r="BQ16">
        <v>0.75</v>
      </c>
      <c r="BR16" t="s">
        <v>119</v>
      </c>
      <c r="BS16" t="s">
        <v>120</v>
      </c>
      <c r="CC16" s="18">
        <v>45343</v>
      </c>
      <c r="CD16" s="18">
        <v>45356</v>
      </c>
      <c r="CE16" s="18">
        <v>45357</v>
      </c>
      <c r="CF16" s="18">
        <v>45378</v>
      </c>
      <c r="CG16">
        <v>4.0000000000000001E-3</v>
      </c>
      <c r="CH16" t="s">
        <v>119</v>
      </c>
      <c r="CI16" t="s">
        <v>120</v>
      </c>
      <c r="DA16" s="18">
        <v>45244</v>
      </c>
      <c r="DB16" s="18">
        <v>45369</v>
      </c>
      <c r="DC16" s="18">
        <v>45370</v>
      </c>
      <c r="DD16" s="18">
        <v>45393</v>
      </c>
      <c r="DE16">
        <v>0.43102200000000002</v>
      </c>
      <c r="DF16" t="s">
        <v>119</v>
      </c>
      <c r="DG16" t="s">
        <v>120</v>
      </c>
      <c r="DI16" s="18">
        <v>45358</v>
      </c>
      <c r="DJ16" s="18">
        <v>45371</v>
      </c>
      <c r="DK16" s="18">
        <v>45372</v>
      </c>
      <c r="DL16" s="18">
        <v>45380</v>
      </c>
      <c r="DM16">
        <v>0.52500000000000002</v>
      </c>
      <c r="DN16" t="s">
        <v>119</v>
      </c>
      <c r="DO16" t="s">
        <v>120</v>
      </c>
      <c r="DY16" s="18">
        <v>45196</v>
      </c>
      <c r="DZ16" s="18">
        <v>45205</v>
      </c>
      <c r="EA16" s="18">
        <v>45209</v>
      </c>
      <c r="EB16" s="18">
        <v>45224</v>
      </c>
      <c r="EC16">
        <v>0.115</v>
      </c>
      <c r="ED16" t="s">
        <v>119</v>
      </c>
      <c r="EE16" t="s">
        <v>120</v>
      </c>
      <c r="FU16" s="18">
        <v>45271</v>
      </c>
      <c r="FV16" s="18">
        <v>45301</v>
      </c>
      <c r="FW16" s="18">
        <v>45302</v>
      </c>
      <c r="FX16" s="18">
        <v>45316</v>
      </c>
      <c r="FY16">
        <v>0.4</v>
      </c>
      <c r="FZ16" t="s">
        <v>119</v>
      </c>
      <c r="GA16" t="s">
        <v>120</v>
      </c>
      <c r="GC16" s="18">
        <v>41299</v>
      </c>
      <c r="GD16" s="18">
        <v>41382</v>
      </c>
      <c r="GE16" s="18">
        <v>41367</v>
      </c>
      <c r="GF16" s="18">
        <v>41381</v>
      </c>
      <c r="GG16">
        <v>4</v>
      </c>
      <c r="GH16" t="s">
        <v>121</v>
      </c>
      <c r="GI16" t="s">
        <v>122</v>
      </c>
      <c r="HA16" s="18">
        <v>45231</v>
      </c>
      <c r="HB16" s="18">
        <v>45244</v>
      </c>
      <c r="HC16" s="18">
        <v>45245</v>
      </c>
      <c r="HD16" s="18">
        <v>45268</v>
      </c>
      <c r="HE16">
        <v>1.1299999999999999</v>
      </c>
      <c r="HF16" t="s">
        <v>119</v>
      </c>
      <c r="HG16" t="s">
        <v>120</v>
      </c>
      <c r="HI16" s="18">
        <v>45238</v>
      </c>
      <c r="HJ16" s="18">
        <v>45261</v>
      </c>
      <c r="HK16" s="18">
        <v>45264</v>
      </c>
      <c r="HL16" s="18">
        <v>45272</v>
      </c>
      <c r="HM16">
        <v>1.88</v>
      </c>
      <c r="HN16" t="s">
        <v>119</v>
      </c>
      <c r="HO16" t="s">
        <v>120</v>
      </c>
      <c r="HQ16" s="18">
        <v>45272</v>
      </c>
      <c r="HR16" s="18">
        <v>45295</v>
      </c>
      <c r="HS16" s="18">
        <v>45296</v>
      </c>
      <c r="HT16" s="18">
        <v>45322</v>
      </c>
      <c r="HU16">
        <v>1.05</v>
      </c>
      <c r="HV16" t="s">
        <v>119</v>
      </c>
      <c r="HW16" t="s">
        <v>120</v>
      </c>
      <c r="HY16" s="18">
        <v>45275</v>
      </c>
      <c r="HZ16" s="18">
        <v>45287</v>
      </c>
      <c r="IA16" s="18">
        <v>45288</v>
      </c>
      <c r="IB16" s="18">
        <v>45303</v>
      </c>
      <c r="IC16">
        <v>15</v>
      </c>
      <c r="ID16" t="s">
        <v>121</v>
      </c>
      <c r="IE16" t="s">
        <v>124</v>
      </c>
      <c r="IG16" s="18">
        <v>45226</v>
      </c>
      <c r="IH16" s="18">
        <v>45244</v>
      </c>
      <c r="II16" s="18">
        <v>45245</v>
      </c>
      <c r="IJ16" s="18">
        <v>45271</v>
      </c>
      <c r="IK16">
        <v>0.95</v>
      </c>
      <c r="IL16" t="s">
        <v>119</v>
      </c>
      <c r="IM16" t="s">
        <v>120</v>
      </c>
    </row>
    <row r="17" spans="1:247" x14ac:dyDescent="0.3">
      <c r="A17" s="18">
        <v>45183</v>
      </c>
      <c r="B17" s="18">
        <v>45184</v>
      </c>
      <c r="C17" s="18">
        <v>45187</v>
      </c>
      <c r="D17" s="18">
        <v>45230</v>
      </c>
      <c r="E17">
        <v>1.583169</v>
      </c>
      <c r="F17" t="s">
        <v>119</v>
      </c>
      <c r="G17" t="s">
        <v>123</v>
      </c>
      <c r="I17" s="18">
        <v>45275</v>
      </c>
      <c r="J17" s="18">
        <v>45278</v>
      </c>
      <c r="K17" s="18">
        <v>45279</v>
      </c>
      <c r="L17" s="18">
        <v>45289</v>
      </c>
      <c r="M17">
        <v>0.80825999999999998</v>
      </c>
      <c r="N17" t="s">
        <v>119</v>
      </c>
      <c r="O17" t="s">
        <v>123</v>
      </c>
      <c r="Q17" s="18">
        <v>45275</v>
      </c>
      <c r="R17" s="18">
        <v>45278</v>
      </c>
      <c r="S17" s="18">
        <v>45279</v>
      </c>
      <c r="T17" s="18">
        <v>45281</v>
      </c>
      <c r="U17">
        <v>0.211007</v>
      </c>
      <c r="V17" t="s">
        <v>119</v>
      </c>
      <c r="W17" t="s">
        <v>123</v>
      </c>
      <c r="Y17" s="18">
        <v>42720</v>
      </c>
      <c r="Z17" s="18">
        <v>42723</v>
      </c>
      <c r="AA17" s="18">
        <v>42725</v>
      </c>
      <c r="AB17" s="18">
        <v>42727</v>
      </c>
      <c r="AC17">
        <v>0.28799999999999998</v>
      </c>
      <c r="AD17" t="s">
        <v>126</v>
      </c>
      <c r="AE17" t="s">
        <v>123</v>
      </c>
      <c r="AG17">
        <v>45141</v>
      </c>
      <c r="AH17">
        <v>45149</v>
      </c>
      <c r="AI17">
        <v>45152</v>
      </c>
      <c r="AJ17">
        <v>45155</v>
      </c>
      <c r="AK17">
        <v>0.24</v>
      </c>
      <c r="AL17" t="s">
        <v>119</v>
      </c>
      <c r="AM17" t="s">
        <v>120</v>
      </c>
      <c r="BM17" s="18">
        <v>45188</v>
      </c>
      <c r="BN17" s="18">
        <v>45245</v>
      </c>
      <c r="BO17" s="18">
        <v>45246</v>
      </c>
      <c r="BP17" s="18">
        <v>45274</v>
      </c>
      <c r="BQ17">
        <v>0.75</v>
      </c>
      <c r="BR17" t="s">
        <v>119</v>
      </c>
      <c r="BS17" t="s">
        <v>120</v>
      </c>
      <c r="CC17" s="18">
        <v>45251</v>
      </c>
      <c r="CD17" s="18">
        <v>45265</v>
      </c>
      <c r="CE17" s="18">
        <v>45266</v>
      </c>
      <c r="CF17" s="18">
        <v>45288</v>
      </c>
      <c r="CG17">
        <v>4.0000000000000001E-3</v>
      </c>
      <c r="CH17" t="s">
        <v>119</v>
      </c>
      <c r="CI17" t="s">
        <v>120</v>
      </c>
      <c r="DA17" s="18">
        <v>45146</v>
      </c>
      <c r="DB17" s="18">
        <v>45274</v>
      </c>
      <c r="DC17" s="18">
        <v>45275</v>
      </c>
      <c r="DD17" s="18">
        <v>45302</v>
      </c>
      <c r="DE17">
        <v>0.38176500000000002</v>
      </c>
      <c r="DF17" t="s">
        <v>119</v>
      </c>
      <c r="DG17" t="s">
        <v>120</v>
      </c>
      <c r="DI17" s="18">
        <v>45267</v>
      </c>
      <c r="DJ17" s="18">
        <v>45279</v>
      </c>
      <c r="DK17" s="18">
        <v>45280</v>
      </c>
      <c r="DL17" s="18">
        <v>45289</v>
      </c>
      <c r="DM17">
        <v>0.52500000000000002</v>
      </c>
      <c r="DN17" t="s">
        <v>119</v>
      </c>
      <c r="DO17" t="s">
        <v>120</v>
      </c>
      <c r="DY17" s="18">
        <v>45105</v>
      </c>
      <c r="DZ17" s="18">
        <v>45114</v>
      </c>
      <c r="EA17" s="18">
        <v>45117</v>
      </c>
      <c r="EB17" s="18">
        <v>45132</v>
      </c>
      <c r="EC17">
        <v>0.115</v>
      </c>
      <c r="ED17" t="s">
        <v>119</v>
      </c>
      <c r="EE17" t="s">
        <v>120</v>
      </c>
      <c r="FU17" s="18">
        <v>45180</v>
      </c>
      <c r="FV17" s="18">
        <v>45210</v>
      </c>
      <c r="FW17" s="18">
        <v>45211</v>
      </c>
      <c r="FX17" s="18">
        <v>45225</v>
      </c>
      <c r="FY17">
        <v>0.4</v>
      </c>
      <c r="FZ17" t="s">
        <v>119</v>
      </c>
      <c r="GA17" t="s">
        <v>120</v>
      </c>
      <c r="HA17" s="18">
        <v>45103</v>
      </c>
      <c r="HB17" s="18">
        <v>45152</v>
      </c>
      <c r="HC17" s="18">
        <v>45153</v>
      </c>
      <c r="HD17" s="18">
        <v>45177</v>
      </c>
      <c r="HE17">
        <v>1.1299999999999999</v>
      </c>
      <c r="HF17" t="s">
        <v>119</v>
      </c>
      <c r="HG17" t="s">
        <v>120</v>
      </c>
      <c r="HI17" s="18">
        <v>45161</v>
      </c>
      <c r="HJ17" s="18">
        <v>45177</v>
      </c>
      <c r="HK17" s="18">
        <v>45180</v>
      </c>
      <c r="HL17" s="18">
        <v>45188</v>
      </c>
      <c r="HM17">
        <v>1.88</v>
      </c>
      <c r="HN17" t="s">
        <v>119</v>
      </c>
      <c r="HO17" t="s">
        <v>120</v>
      </c>
      <c r="HQ17" s="18">
        <v>45188</v>
      </c>
      <c r="HR17" s="18">
        <v>45204</v>
      </c>
      <c r="HS17" s="18">
        <v>45205</v>
      </c>
      <c r="HT17" s="18">
        <v>45230</v>
      </c>
      <c r="HU17">
        <v>1.05</v>
      </c>
      <c r="HV17" t="s">
        <v>119</v>
      </c>
      <c r="HW17" t="s">
        <v>120</v>
      </c>
      <c r="HY17" s="18">
        <v>45217</v>
      </c>
      <c r="HZ17" s="18">
        <v>45232</v>
      </c>
      <c r="IA17" s="18">
        <v>45233</v>
      </c>
      <c r="IB17" s="18">
        <v>45247</v>
      </c>
      <c r="IC17">
        <v>1.02</v>
      </c>
      <c r="ID17" t="s">
        <v>119</v>
      </c>
      <c r="IE17" t="s">
        <v>120</v>
      </c>
      <c r="IG17" s="18">
        <v>45135</v>
      </c>
      <c r="IH17" s="18">
        <v>45153</v>
      </c>
      <c r="II17" s="18">
        <v>45154</v>
      </c>
      <c r="IJ17" s="18">
        <v>45180</v>
      </c>
      <c r="IK17">
        <v>0.91</v>
      </c>
      <c r="IL17" t="s">
        <v>119</v>
      </c>
      <c r="IM17" t="s">
        <v>120</v>
      </c>
    </row>
    <row r="18" spans="1:247" x14ac:dyDescent="0.3">
      <c r="A18" s="18">
        <v>45092</v>
      </c>
      <c r="B18" s="18">
        <v>45093</v>
      </c>
      <c r="C18" s="18">
        <v>45097</v>
      </c>
      <c r="D18" s="18">
        <v>45138</v>
      </c>
      <c r="E18">
        <v>1.6383669999999999</v>
      </c>
      <c r="F18" t="s">
        <v>119</v>
      </c>
      <c r="G18" t="s">
        <v>123</v>
      </c>
      <c r="I18" s="18">
        <v>45184</v>
      </c>
      <c r="J18" s="18">
        <v>45187</v>
      </c>
      <c r="K18" s="18">
        <v>45188</v>
      </c>
      <c r="L18" s="18">
        <v>45230</v>
      </c>
      <c r="M18">
        <v>0.53554999999999997</v>
      </c>
      <c r="N18" t="s">
        <v>119</v>
      </c>
      <c r="O18" t="s">
        <v>123</v>
      </c>
      <c r="Q18" s="18">
        <v>45184</v>
      </c>
      <c r="R18" s="18">
        <v>45187</v>
      </c>
      <c r="S18" s="18">
        <v>45188</v>
      </c>
      <c r="T18" s="18">
        <v>45190</v>
      </c>
      <c r="U18">
        <v>0.180143</v>
      </c>
      <c r="V18" t="s">
        <v>119</v>
      </c>
      <c r="W18" t="s">
        <v>123</v>
      </c>
      <c r="Y18" s="18">
        <v>42356</v>
      </c>
      <c r="Z18" s="18">
        <v>42359</v>
      </c>
      <c r="AA18" s="18">
        <v>42361</v>
      </c>
      <c r="AB18" s="18">
        <v>42366</v>
      </c>
      <c r="AC18">
        <v>0.57050000000000001</v>
      </c>
      <c r="AD18" t="s">
        <v>126</v>
      </c>
      <c r="AE18" t="s">
        <v>123</v>
      </c>
      <c r="AG18">
        <v>45050</v>
      </c>
      <c r="AH18">
        <v>45058</v>
      </c>
      <c r="AI18">
        <v>45061</v>
      </c>
      <c r="AJ18">
        <v>45064</v>
      </c>
      <c r="AK18">
        <v>0.24</v>
      </c>
      <c r="AL18" t="s">
        <v>119</v>
      </c>
      <c r="AM18" t="s">
        <v>120</v>
      </c>
      <c r="BM18" s="18">
        <v>45090</v>
      </c>
      <c r="BN18" s="18">
        <v>45154</v>
      </c>
      <c r="BO18" s="18">
        <v>45155</v>
      </c>
      <c r="BP18" s="18">
        <v>45183</v>
      </c>
      <c r="BQ18">
        <v>0.68</v>
      </c>
      <c r="BR18" t="s">
        <v>119</v>
      </c>
      <c r="BS18" t="s">
        <v>120</v>
      </c>
      <c r="CC18" s="18">
        <v>45161</v>
      </c>
      <c r="CD18" s="18">
        <v>45175</v>
      </c>
      <c r="CE18" s="18">
        <v>45176</v>
      </c>
      <c r="CF18" s="18">
        <v>45197</v>
      </c>
      <c r="CG18">
        <v>4.0000000000000001E-3</v>
      </c>
      <c r="CH18" t="s">
        <v>119</v>
      </c>
      <c r="CI18" t="s">
        <v>120</v>
      </c>
      <c r="DA18" s="18">
        <v>45055</v>
      </c>
      <c r="DB18" s="18">
        <v>45183</v>
      </c>
      <c r="DC18" s="18">
        <v>45184</v>
      </c>
      <c r="DD18" s="18">
        <v>45211</v>
      </c>
      <c r="DE18">
        <v>0.36744100000000002</v>
      </c>
      <c r="DF18" t="s">
        <v>119</v>
      </c>
      <c r="DG18" t="s">
        <v>120</v>
      </c>
      <c r="DI18" s="18">
        <v>45169</v>
      </c>
      <c r="DJ18" s="18">
        <v>45189</v>
      </c>
      <c r="DK18" s="18">
        <v>45190</v>
      </c>
      <c r="DL18" s="18">
        <v>45198</v>
      </c>
      <c r="DM18">
        <v>0.46</v>
      </c>
      <c r="DN18" t="s">
        <v>119</v>
      </c>
      <c r="DO18" t="s">
        <v>120</v>
      </c>
      <c r="DY18" s="18">
        <v>45013</v>
      </c>
      <c r="DZ18" s="18">
        <v>45022</v>
      </c>
      <c r="EA18" s="18">
        <v>45026</v>
      </c>
      <c r="EB18" s="18">
        <v>45041</v>
      </c>
      <c r="EC18">
        <v>0.115</v>
      </c>
      <c r="ED18" t="s">
        <v>119</v>
      </c>
      <c r="EE18" t="s">
        <v>120</v>
      </c>
      <c r="FU18" s="18">
        <v>45089</v>
      </c>
      <c r="FV18" s="18">
        <v>45118</v>
      </c>
      <c r="FW18" s="18">
        <v>45119</v>
      </c>
      <c r="FX18" s="18">
        <v>45133</v>
      </c>
      <c r="FY18">
        <v>0.4</v>
      </c>
      <c r="FZ18" t="s">
        <v>119</v>
      </c>
      <c r="GA18" t="s">
        <v>120</v>
      </c>
      <c r="HA18" s="18">
        <v>45047</v>
      </c>
      <c r="HB18" s="18">
        <v>45058</v>
      </c>
      <c r="HC18" s="18">
        <v>45061</v>
      </c>
      <c r="HD18" s="18">
        <v>45086</v>
      </c>
      <c r="HE18">
        <v>1.1299999999999999</v>
      </c>
      <c r="HF18" t="s">
        <v>119</v>
      </c>
      <c r="HG18" t="s">
        <v>120</v>
      </c>
      <c r="HI18" s="18">
        <v>45084</v>
      </c>
      <c r="HJ18" s="18">
        <v>45092</v>
      </c>
      <c r="HK18" s="18">
        <v>45096</v>
      </c>
      <c r="HL18" s="18">
        <v>45104</v>
      </c>
      <c r="HM18">
        <v>1.88</v>
      </c>
      <c r="HN18" t="s">
        <v>119</v>
      </c>
      <c r="HO18" t="s">
        <v>120</v>
      </c>
      <c r="HQ18" s="18">
        <v>45061</v>
      </c>
      <c r="HR18" s="18">
        <v>45112</v>
      </c>
      <c r="HS18" s="18">
        <v>45113</v>
      </c>
      <c r="HT18" s="18">
        <v>45138</v>
      </c>
      <c r="HU18">
        <v>1</v>
      </c>
      <c r="HV18" t="s">
        <v>119</v>
      </c>
      <c r="HW18" t="s">
        <v>120</v>
      </c>
      <c r="HY18" s="18">
        <v>45147</v>
      </c>
      <c r="HZ18" s="18">
        <v>45162</v>
      </c>
      <c r="IA18" s="18">
        <v>45163</v>
      </c>
      <c r="IB18" s="18">
        <v>45177</v>
      </c>
      <c r="IC18">
        <v>1.02</v>
      </c>
      <c r="ID18" t="s">
        <v>119</v>
      </c>
      <c r="IE18" t="s">
        <v>120</v>
      </c>
      <c r="IG18" s="18">
        <v>45044</v>
      </c>
      <c r="IH18" s="18">
        <v>45061</v>
      </c>
      <c r="II18" s="18">
        <v>45062</v>
      </c>
      <c r="IJ18" s="18">
        <v>45086</v>
      </c>
      <c r="IK18">
        <v>0.91</v>
      </c>
      <c r="IL18" t="s">
        <v>119</v>
      </c>
      <c r="IM18" t="s">
        <v>120</v>
      </c>
    </row>
    <row r="19" spans="1:247" x14ac:dyDescent="0.3">
      <c r="A19" s="18">
        <v>45001</v>
      </c>
      <c r="B19" s="18">
        <v>45002</v>
      </c>
      <c r="C19" s="18">
        <v>45005</v>
      </c>
      <c r="D19" s="18">
        <v>45044</v>
      </c>
      <c r="E19">
        <v>1.5062040000000001</v>
      </c>
      <c r="F19" t="s">
        <v>119</v>
      </c>
      <c r="G19" t="s">
        <v>123</v>
      </c>
      <c r="I19" s="18">
        <v>45093</v>
      </c>
      <c r="J19" s="18">
        <v>45097</v>
      </c>
      <c r="K19" s="18">
        <v>45098</v>
      </c>
      <c r="L19" s="18">
        <v>45138</v>
      </c>
      <c r="M19">
        <v>0.50395000000000001</v>
      </c>
      <c r="N19" t="s">
        <v>119</v>
      </c>
      <c r="O19" t="s">
        <v>123</v>
      </c>
      <c r="Q19" s="18">
        <v>45093</v>
      </c>
      <c r="R19" s="18">
        <v>45097</v>
      </c>
      <c r="S19" s="18">
        <v>45098</v>
      </c>
      <c r="T19" s="18">
        <v>45100</v>
      </c>
      <c r="U19">
        <v>0.18079200000000001</v>
      </c>
      <c r="V19" t="s">
        <v>119</v>
      </c>
      <c r="W19" t="s">
        <v>123</v>
      </c>
      <c r="Y19" s="18">
        <v>41992</v>
      </c>
      <c r="Z19" s="18">
        <v>41995</v>
      </c>
      <c r="AA19" s="18">
        <v>41997</v>
      </c>
      <c r="AB19" s="18">
        <v>42002</v>
      </c>
      <c r="AC19">
        <v>0.316</v>
      </c>
      <c r="AD19" t="s">
        <v>126</v>
      </c>
      <c r="AE19" t="s">
        <v>123</v>
      </c>
      <c r="AG19">
        <v>44959</v>
      </c>
      <c r="AH19">
        <v>44967</v>
      </c>
      <c r="AI19">
        <v>44970</v>
      </c>
      <c r="AJ19">
        <v>44973</v>
      </c>
      <c r="AK19">
        <v>0.23</v>
      </c>
      <c r="AL19" t="s">
        <v>119</v>
      </c>
      <c r="AM19" t="s">
        <v>120</v>
      </c>
      <c r="BM19" s="18">
        <v>44999</v>
      </c>
      <c r="BN19" s="18">
        <v>45063</v>
      </c>
      <c r="BO19" s="18">
        <v>45064</v>
      </c>
      <c r="BP19" s="18">
        <v>45085</v>
      </c>
      <c r="BQ19">
        <v>0.68</v>
      </c>
      <c r="BR19" t="s">
        <v>119</v>
      </c>
      <c r="BS19" t="s">
        <v>120</v>
      </c>
      <c r="CC19" s="18">
        <v>45070</v>
      </c>
      <c r="CD19" s="18">
        <v>45084</v>
      </c>
      <c r="CE19" s="18">
        <v>45085</v>
      </c>
      <c r="CF19" s="18">
        <v>45107</v>
      </c>
      <c r="CG19">
        <v>4.0000000000000001E-3</v>
      </c>
      <c r="CH19" t="s">
        <v>119</v>
      </c>
      <c r="CI19" t="s">
        <v>120</v>
      </c>
      <c r="DA19" s="18">
        <v>44971</v>
      </c>
      <c r="DB19" s="18">
        <v>45092</v>
      </c>
      <c r="DC19" s="18">
        <v>45093</v>
      </c>
      <c r="DD19" s="18">
        <v>45120</v>
      </c>
      <c r="DE19">
        <v>0.3468</v>
      </c>
      <c r="DF19" t="s">
        <v>119</v>
      </c>
      <c r="DG19" t="s">
        <v>120</v>
      </c>
      <c r="DI19" s="18">
        <v>45078</v>
      </c>
      <c r="DJ19" s="18">
        <v>45098</v>
      </c>
      <c r="DK19" s="18">
        <v>45099</v>
      </c>
      <c r="DL19" s="18">
        <v>45107</v>
      </c>
      <c r="DM19">
        <v>0.46</v>
      </c>
      <c r="DN19" t="s">
        <v>119</v>
      </c>
      <c r="DO19" t="s">
        <v>120</v>
      </c>
      <c r="DY19" s="18">
        <v>44916</v>
      </c>
      <c r="DZ19" s="18">
        <v>44925</v>
      </c>
      <c r="EA19" s="18">
        <v>44929</v>
      </c>
      <c r="EB19" s="18">
        <v>44945</v>
      </c>
      <c r="EC19">
        <v>0.115</v>
      </c>
      <c r="ED19" t="s">
        <v>119</v>
      </c>
      <c r="EE19" t="s">
        <v>120</v>
      </c>
      <c r="FU19" s="18">
        <v>44994</v>
      </c>
      <c r="FV19" s="18">
        <v>45026</v>
      </c>
      <c r="FW19" s="18">
        <v>45027</v>
      </c>
      <c r="FX19" s="18">
        <v>45040</v>
      </c>
      <c r="FY19">
        <v>0.4</v>
      </c>
      <c r="FZ19" t="s">
        <v>119</v>
      </c>
      <c r="GA19" t="s">
        <v>120</v>
      </c>
      <c r="HA19" s="18">
        <v>44907</v>
      </c>
      <c r="HB19" s="18">
        <v>44971</v>
      </c>
      <c r="HC19" s="18">
        <v>44972</v>
      </c>
      <c r="HD19" s="18">
        <v>44995</v>
      </c>
      <c r="HE19">
        <v>1.1299999999999999</v>
      </c>
      <c r="HF19" t="s">
        <v>119</v>
      </c>
      <c r="HG19" t="s">
        <v>120</v>
      </c>
      <c r="HI19" s="18">
        <v>44984</v>
      </c>
      <c r="HJ19" s="18">
        <v>44995</v>
      </c>
      <c r="HK19" s="18">
        <v>44998</v>
      </c>
      <c r="HL19" s="18">
        <v>45006</v>
      </c>
      <c r="HM19">
        <v>1.65</v>
      </c>
      <c r="HN19" t="s">
        <v>119</v>
      </c>
      <c r="HO19" t="s">
        <v>120</v>
      </c>
      <c r="HQ19" s="18">
        <v>45006</v>
      </c>
      <c r="HR19" s="18">
        <v>45021</v>
      </c>
      <c r="HS19" s="18">
        <v>45022</v>
      </c>
      <c r="HT19" s="18">
        <v>45046</v>
      </c>
      <c r="HU19">
        <v>1</v>
      </c>
      <c r="HV19" t="s">
        <v>119</v>
      </c>
      <c r="HW19" t="s">
        <v>120</v>
      </c>
      <c r="HY19" s="18">
        <v>45035</v>
      </c>
      <c r="HZ19" s="18">
        <v>45050</v>
      </c>
      <c r="IA19" s="18">
        <v>45051</v>
      </c>
      <c r="IB19" s="18">
        <v>45065</v>
      </c>
      <c r="IC19">
        <v>1.02</v>
      </c>
      <c r="ID19" t="s">
        <v>119</v>
      </c>
      <c r="IE19" t="s">
        <v>120</v>
      </c>
      <c r="IG19" s="18">
        <v>44957</v>
      </c>
      <c r="IH19" s="18">
        <v>44970</v>
      </c>
      <c r="II19" s="18">
        <v>44971</v>
      </c>
      <c r="IJ19" s="18">
        <v>44995</v>
      </c>
      <c r="IK19">
        <v>0.91</v>
      </c>
      <c r="IL19" t="s">
        <v>119</v>
      </c>
      <c r="IM19" t="s">
        <v>120</v>
      </c>
    </row>
    <row r="20" spans="1:247" x14ac:dyDescent="0.3">
      <c r="A20" s="18">
        <v>44910</v>
      </c>
      <c r="B20" s="18">
        <v>44911</v>
      </c>
      <c r="C20" s="18">
        <v>44914</v>
      </c>
      <c r="D20" s="18">
        <v>44957</v>
      </c>
      <c r="E20">
        <v>1.7814000000000001</v>
      </c>
      <c r="F20" t="s">
        <v>119</v>
      </c>
      <c r="G20" t="s">
        <v>123</v>
      </c>
      <c r="I20" s="18">
        <v>45002</v>
      </c>
      <c r="J20" s="18">
        <v>45005</v>
      </c>
      <c r="K20" s="18">
        <v>45006</v>
      </c>
      <c r="L20" s="18">
        <v>45044</v>
      </c>
      <c r="M20">
        <v>0.47222999999999998</v>
      </c>
      <c r="N20" t="s">
        <v>119</v>
      </c>
      <c r="O20" t="s">
        <v>123</v>
      </c>
      <c r="Q20" s="18">
        <v>45002</v>
      </c>
      <c r="R20" s="18">
        <v>45005</v>
      </c>
      <c r="S20" s="18">
        <v>45006</v>
      </c>
      <c r="T20" s="18">
        <v>45008</v>
      </c>
      <c r="U20">
        <v>0.15772600000000001</v>
      </c>
      <c r="V20" t="s">
        <v>119</v>
      </c>
      <c r="W20" t="s">
        <v>123</v>
      </c>
      <c r="Y20" s="18">
        <v>41628</v>
      </c>
      <c r="Z20" s="18">
        <v>41631</v>
      </c>
      <c r="AA20" s="18">
        <v>41634</v>
      </c>
      <c r="AB20" s="18">
        <v>41638</v>
      </c>
      <c r="AC20">
        <v>0.32950000000000002</v>
      </c>
      <c r="AD20" t="s">
        <v>126</v>
      </c>
      <c r="AE20" t="s">
        <v>123</v>
      </c>
      <c r="AG20">
        <v>44861</v>
      </c>
      <c r="AH20">
        <v>44869</v>
      </c>
      <c r="AI20">
        <v>44872</v>
      </c>
      <c r="AJ20">
        <v>44875</v>
      </c>
      <c r="AK20">
        <v>0.23</v>
      </c>
      <c r="AL20" t="s">
        <v>119</v>
      </c>
      <c r="AM20" t="s">
        <v>120</v>
      </c>
      <c r="BM20" s="18">
        <v>44894</v>
      </c>
      <c r="BN20" s="18">
        <v>44972</v>
      </c>
      <c r="BO20" s="18">
        <v>44973</v>
      </c>
      <c r="BP20" s="18">
        <v>44994</v>
      </c>
      <c r="BQ20">
        <v>0.68</v>
      </c>
      <c r="BR20" t="s">
        <v>119</v>
      </c>
      <c r="BS20" t="s">
        <v>120</v>
      </c>
      <c r="CC20" s="18">
        <v>44979</v>
      </c>
      <c r="CD20" s="18">
        <v>44992</v>
      </c>
      <c r="CE20" s="18">
        <v>44993</v>
      </c>
      <c r="CF20" s="18">
        <v>45014</v>
      </c>
      <c r="CG20">
        <v>4.0000000000000001E-3</v>
      </c>
      <c r="CH20" t="s">
        <v>119</v>
      </c>
      <c r="CI20" t="s">
        <v>120</v>
      </c>
      <c r="DA20" s="18">
        <v>44873</v>
      </c>
      <c r="DB20" s="18">
        <v>45001</v>
      </c>
      <c r="DC20" s="18">
        <v>45002</v>
      </c>
      <c r="DD20" s="18">
        <v>45029</v>
      </c>
      <c r="DE20">
        <v>0.356346</v>
      </c>
      <c r="DF20" t="s">
        <v>119</v>
      </c>
      <c r="DG20" t="s">
        <v>120</v>
      </c>
      <c r="DI20" s="18">
        <v>44987</v>
      </c>
      <c r="DJ20" s="18">
        <v>45006</v>
      </c>
      <c r="DK20" s="18">
        <v>45007</v>
      </c>
      <c r="DL20" s="18">
        <v>45016</v>
      </c>
      <c r="DM20">
        <v>0.46</v>
      </c>
      <c r="DN20" t="s">
        <v>119</v>
      </c>
      <c r="DO20" t="s">
        <v>120</v>
      </c>
      <c r="DY20" s="18">
        <v>44833</v>
      </c>
      <c r="DZ20" s="18">
        <v>44841</v>
      </c>
      <c r="EA20" s="18">
        <v>44845</v>
      </c>
      <c r="EB20" s="18">
        <v>44860</v>
      </c>
      <c r="EC20">
        <v>0.115</v>
      </c>
      <c r="ED20" t="s">
        <v>119</v>
      </c>
      <c r="EE20" t="s">
        <v>120</v>
      </c>
      <c r="FU20" s="18">
        <v>44907</v>
      </c>
      <c r="FV20" s="18">
        <v>44935</v>
      </c>
      <c r="FW20" s="18">
        <v>44936</v>
      </c>
      <c r="FX20" s="18">
        <v>44950</v>
      </c>
      <c r="FY20">
        <v>0.32</v>
      </c>
      <c r="FZ20" t="s">
        <v>119</v>
      </c>
      <c r="GA20" t="s">
        <v>120</v>
      </c>
      <c r="HA20" s="18">
        <v>44851</v>
      </c>
      <c r="HB20" s="18">
        <v>44879</v>
      </c>
      <c r="HC20" s="18">
        <v>44880</v>
      </c>
      <c r="HD20" s="18">
        <v>44904</v>
      </c>
      <c r="HE20">
        <v>0.98</v>
      </c>
      <c r="HF20" t="s">
        <v>119</v>
      </c>
      <c r="HG20" t="s">
        <v>120</v>
      </c>
      <c r="HI20" s="18">
        <v>44869</v>
      </c>
      <c r="HJ20" s="18">
        <v>44897</v>
      </c>
      <c r="HK20" s="18">
        <v>44900</v>
      </c>
      <c r="HL20" s="18">
        <v>44908</v>
      </c>
      <c r="HM20">
        <v>1.65</v>
      </c>
      <c r="HN20" t="s">
        <v>119</v>
      </c>
      <c r="HO20" t="s">
        <v>120</v>
      </c>
      <c r="HQ20" s="18">
        <v>44908</v>
      </c>
      <c r="HR20" s="18">
        <v>44931</v>
      </c>
      <c r="HS20" s="18">
        <v>44932</v>
      </c>
      <c r="HT20" s="18">
        <v>44957</v>
      </c>
      <c r="HU20">
        <v>1</v>
      </c>
      <c r="HV20" t="s">
        <v>119</v>
      </c>
      <c r="HW20" t="s">
        <v>120</v>
      </c>
      <c r="HY20" s="18">
        <v>44945</v>
      </c>
      <c r="HZ20" s="18">
        <v>44959</v>
      </c>
      <c r="IA20" s="18">
        <v>44960</v>
      </c>
      <c r="IB20" s="18">
        <v>44974</v>
      </c>
      <c r="IC20">
        <v>0.9</v>
      </c>
      <c r="ID20" t="s">
        <v>119</v>
      </c>
      <c r="IE20" t="s">
        <v>120</v>
      </c>
      <c r="IG20" s="18">
        <v>44862</v>
      </c>
      <c r="IH20" s="18">
        <v>44879</v>
      </c>
      <c r="II20" s="18">
        <v>44880</v>
      </c>
      <c r="IJ20" s="18">
        <v>44904</v>
      </c>
      <c r="IK20">
        <v>0.91</v>
      </c>
      <c r="IL20" t="s">
        <v>119</v>
      </c>
      <c r="IM20" t="s">
        <v>120</v>
      </c>
    </row>
    <row r="21" spans="1:247" x14ac:dyDescent="0.3">
      <c r="A21" s="18">
        <v>44819</v>
      </c>
      <c r="B21" s="18">
        <v>44820</v>
      </c>
      <c r="C21" s="18">
        <v>44823</v>
      </c>
      <c r="D21" s="18">
        <v>44865</v>
      </c>
      <c r="E21">
        <v>1.596398</v>
      </c>
      <c r="F21" t="s">
        <v>119</v>
      </c>
      <c r="G21" t="s">
        <v>123</v>
      </c>
      <c r="I21" s="18">
        <v>44911</v>
      </c>
      <c r="J21" s="18">
        <v>44914</v>
      </c>
      <c r="K21" s="18">
        <v>44915</v>
      </c>
      <c r="L21" s="18">
        <v>44925</v>
      </c>
      <c r="M21">
        <v>0.65541000000000005</v>
      </c>
      <c r="N21" t="s">
        <v>119</v>
      </c>
      <c r="O21" t="s">
        <v>123</v>
      </c>
      <c r="Q21" s="18">
        <v>44911</v>
      </c>
      <c r="R21" s="18">
        <v>44914</v>
      </c>
      <c r="S21" s="18">
        <v>44915</v>
      </c>
      <c r="T21" s="18">
        <v>44917</v>
      </c>
      <c r="U21">
        <v>0.18268200000000001</v>
      </c>
      <c r="V21" t="s">
        <v>119</v>
      </c>
      <c r="W21" t="s">
        <v>123</v>
      </c>
      <c r="Y21" s="18">
        <v>41264</v>
      </c>
      <c r="Z21" s="18">
        <v>41267</v>
      </c>
      <c r="AA21" s="18">
        <v>41270</v>
      </c>
      <c r="AB21" s="18">
        <v>41274</v>
      </c>
      <c r="AC21">
        <v>0.35</v>
      </c>
      <c r="AD21" t="s">
        <v>126</v>
      </c>
      <c r="AE21" t="s">
        <v>123</v>
      </c>
      <c r="AG21">
        <v>44770</v>
      </c>
      <c r="AH21">
        <v>44778</v>
      </c>
      <c r="AI21">
        <v>44781</v>
      </c>
      <c r="AJ21">
        <v>44784</v>
      </c>
      <c r="AK21">
        <v>0.23</v>
      </c>
      <c r="AL21" t="s">
        <v>119</v>
      </c>
      <c r="AM21" t="s">
        <v>120</v>
      </c>
      <c r="BM21" s="18">
        <v>44824</v>
      </c>
      <c r="BN21" s="18">
        <v>44881</v>
      </c>
      <c r="BO21" s="18">
        <v>44882</v>
      </c>
      <c r="BP21" s="18">
        <v>44903</v>
      </c>
      <c r="BQ21">
        <v>0.68</v>
      </c>
      <c r="BR21" t="s">
        <v>119</v>
      </c>
      <c r="BS21" t="s">
        <v>120</v>
      </c>
      <c r="CC21" s="18">
        <v>44881</v>
      </c>
      <c r="CD21" s="18">
        <v>44895</v>
      </c>
      <c r="CE21" s="18">
        <v>44896</v>
      </c>
      <c r="CF21" s="18">
        <v>44917</v>
      </c>
      <c r="CG21">
        <v>4.0000000000000001E-3</v>
      </c>
      <c r="CH21" t="s">
        <v>119</v>
      </c>
      <c r="CI21" t="s">
        <v>120</v>
      </c>
      <c r="DA21" s="18">
        <v>44782</v>
      </c>
      <c r="DB21" s="18">
        <v>44910</v>
      </c>
      <c r="DC21" s="18">
        <v>44911</v>
      </c>
      <c r="DD21" s="18">
        <v>44938</v>
      </c>
      <c r="DE21">
        <v>0.35336600000000001</v>
      </c>
      <c r="DF21" t="s">
        <v>119</v>
      </c>
      <c r="DG21" t="s">
        <v>120</v>
      </c>
      <c r="DI21" s="18">
        <v>44903</v>
      </c>
      <c r="DJ21" s="18">
        <v>44914</v>
      </c>
      <c r="DK21" s="18">
        <v>44915</v>
      </c>
      <c r="DL21" s="18">
        <v>44925</v>
      </c>
      <c r="DM21">
        <v>0.46</v>
      </c>
      <c r="DN21" t="s">
        <v>119</v>
      </c>
      <c r="DO21" t="s">
        <v>120</v>
      </c>
      <c r="DY21" s="18">
        <v>44742</v>
      </c>
      <c r="DZ21" s="18">
        <v>44750</v>
      </c>
      <c r="EA21" s="18">
        <v>44753</v>
      </c>
      <c r="EB21" s="18">
        <v>44768</v>
      </c>
      <c r="EC21">
        <v>0.115</v>
      </c>
      <c r="ED21" t="s">
        <v>119</v>
      </c>
      <c r="EE21" t="s">
        <v>120</v>
      </c>
      <c r="FU21" s="18">
        <v>44816</v>
      </c>
      <c r="FV21" s="18">
        <v>44845</v>
      </c>
      <c r="FW21" s="18">
        <v>44846</v>
      </c>
      <c r="FX21" s="18">
        <v>44859</v>
      </c>
      <c r="FY21">
        <v>0.32</v>
      </c>
      <c r="FZ21" t="s">
        <v>119</v>
      </c>
      <c r="GA21" t="s">
        <v>120</v>
      </c>
      <c r="HA21" s="18">
        <v>44739</v>
      </c>
      <c r="HB21" s="18">
        <v>44785</v>
      </c>
      <c r="HC21" s="18">
        <v>44788</v>
      </c>
      <c r="HD21" s="18">
        <v>44813</v>
      </c>
      <c r="HE21">
        <v>0.98</v>
      </c>
      <c r="HF21" t="s">
        <v>119</v>
      </c>
      <c r="HG21" t="s">
        <v>120</v>
      </c>
      <c r="HI21" s="18">
        <v>44790</v>
      </c>
      <c r="HJ21" s="18">
        <v>44813</v>
      </c>
      <c r="HK21" s="18">
        <v>44816</v>
      </c>
      <c r="HL21" s="18">
        <v>44824</v>
      </c>
      <c r="HM21">
        <v>1.65</v>
      </c>
      <c r="HN21" t="s">
        <v>119</v>
      </c>
      <c r="HO21" t="s">
        <v>120</v>
      </c>
      <c r="HQ21" s="18">
        <v>44824</v>
      </c>
      <c r="HR21" s="18">
        <v>44839</v>
      </c>
      <c r="HS21" s="18">
        <v>44840</v>
      </c>
      <c r="HT21" s="18">
        <v>44865</v>
      </c>
      <c r="HU21">
        <v>1</v>
      </c>
      <c r="HV21" t="s">
        <v>119</v>
      </c>
      <c r="HW21" t="s">
        <v>120</v>
      </c>
      <c r="HY21" s="18">
        <v>44846</v>
      </c>
      <c r="HZ21" s="18">
        <v>44861</v>
      </c>
      <c r="IA21" s="18">
        <v>44862</v>
      </c>
      <c r="IB21" s="18">
        <v>44875</v>
      </c>
      <c r="IC21">
        <v>0.9</v>
      </c>
      <c r="ID21" t="s">
        <v>119</v>
      </c>
      <c r="IE21" t="s">
        <v>120</v>
      </c>
      <c r="IG21" s="18">
        <v>44769</v>
      </c>
      <c r="IH21" s="18">
        <v>44784</v>
      </c>
      <c r="II21" s="18">
        <v>44785</v>
      </c>
      <c r="IJ21" s="18">
        <v>44813</v>
      </c>
      <c r="IK21">
        <v>0.88</v>
      </c>
      <c r="IL21" t="s">
        <v>119</v>
      </c>
      <c r="IM21" t="s">
        <v>120</v>
      </c>
    </row>
    <row r="22" spans="1:247" x14ac:dyDescent="0.3">
      <c r="A22" s="18">
        <v>44728</v>
      </c>
      <c r="B22" s="18">
        <v>44729</v>
      </c>
      <c r="C22" s="18">
        <v>44733</v>
      </c>
      <c r="D22" s="18">
        <v>44771</v>
      </c>
      <c r="E22">
        <v>1.5768709999999999</v>
      </c>
      <c r="F22" t="s">
        <v>119</v>
      </c>
      <c r="G22" t="s">
        <v>123</v>
      </c>
      <c r="I22" s="18">
        <v>44820</v>
      </c>
      <c r="J22" s="18">
        <v>44823</v>
      </c>
      <c r="K22" s="18">
        <v>44824</v>
      </c>
      <c r="L22" s="18">
        <v>44865</v>
      </c>
      <c r="M22">
        <v>0.51856000000000002</v>
      </c>
      <c r="N22" t="s">
        <v>119</v>
      </c>
      <c r="O22" t="s">
        <v>123</v>
      </c>
      <c r="Q22" s="18">
        <v>44820</v>
      </c>
      <c r="R22" s="18">
        <v>44823</v>
      </c>
      <c r="S22" s="18">
        <v>44824</v>
      </c>
      <c r="T22" s="18">
        <v>44826</v>
      </c>
      <c r="U22">
        <v>0.158333</v>
      </c>
      <c r="V22" t="s">
        <v>119</v>
      </c>
      <c r="W22" t="s">
        <v>123</v>
      </c>
      <c r="AG22">
        <v>44679</v>
      </c>
      <c r="AH22">
        <v>44687</v>
      </c>
      <c r="AI22">
        <v>44690</v>
      </c>
      <c r="AJ22">
        <v>44693</v>
      </c>
      <c r="AK22">
        <v>0.23</v>
      </c>
      <c r="AL22" t="s">
        <v>119</v>
      </c>
      <c r="AM22" t="s">
        <v>120</v>
      </c>
      <c r="BM22" s="18">
        <v>44726</v>
      </c>
      <c r="BN22" s="18">
        <v>44790</v>
      </c>
      <c r="BO22" s="18">
        <v>44791</v>
      </c>
      <c r="BP22" s="18">
        <v>44812</v>
      </c>
      <c r="BQ22">
        <v>0.62</v>
      </c>
      <c r="BR22" t="s">
        <v>119</v>
      </c>
      <c r="BS22" t="s">
        <v>120</v>
      </c>
      <c r="CC22" s="18">
        <v>44797</v>
      </c>
      <c r="CD22" s="18">
        <v>44811</v>
      </c>
      <c r="CE22" s="18">
        <v>44812</v>
      </c>
      <c r="CF22" s="18">
        <v>44833</v>
      </c>
      <c r="CG22">
        <v>4.0000000000000001E-3</v>
      </c>
      <c r="CH22" t="s">
        <v>119</v>
      </c>
      <c r="CI22" t="s">
        <v>120</v>
      </c>
      <c r="DA22" s="18">
        <v>44691</v>
      </c>
      <c r="DB22" s="18">
        <v>44819</v>
      </c>
      <c r="DC22" s="18">
        <v>44820</v>
      </c>
      <c r="DD22" s="18">
        <v>44847</v>
      </c>
      <c r="DE22">
        <v>0.34356500000000001</v>
      </c>
      <c r="DF22" t="s">
        <v>119</v>
      </c>
      <c r="DG22" t="s">
        <v>120</v>
      </c>
      <c r="DI22" s="18">
        <v>44805</v>
      </c>
      <c r="DJ22" s="18">
        <v>44825</v>
      </c>
      <c r="DK22" s="18">
        <v>44826</v>
      </c>
      <c r="DL22" s="18">
        <v>44834</v>
      </c>
      <c r="DM22">
        <v>0.41</v>
      </c>
      <c r="DN22" t="s">
        <v>119</v>
      </c>
      <c r="DO22" t="s">
        <v>120</v>
      </c>
      <c r="DY22" s="18">
        <v>44649</v>
      </c>
      <c r="DZ22" s="18">
        <v>44659</v>
      </c>
      <c r="EA22" s="18">
        <v>44662</v>
      </c>
      <c r="EB22" s="18">
        <v>44677</v>
      </c>
      <c r="EC22">
        <v>0.1</v>
      </c>
      <c r="ED22" t="s">
        <v>119</v>
      </c>
      <c r="EE22" t="s">
        <v>120</v>
      </c>
      <c r="FU22" s="18">
        <v>44725</v>
      </c>
      <c r="FV22" s="18">
        <v>44753</v>
      </c>
      <c r="FW22" s="18">
        <v>44754</v>
      </c>
      <c r="FX22" s="18">
        <v>44768</v>
      </c>
      <c r="FY22">
        <v>0.32</v>
      </c>
      <c r="FZ22" t="s">
        <v>119</v>
      </c>
      <c r="GA22" t="s">
        <v>120</v>
      </c>
      <c r="HA22" s="18">
        <v>44683</v>
      </c>
      <c r="HB22" s="18">
        <v>44694</v>
      </c>
      <c r="HC22" s="18">
        <v>44697</v>
      </c>
      <c r="HD22" s="18">
        <v>44722</v>
      </c>
      <c r="HE22">
        <v>0.98</v>
      </c>
      <c r="HF22" t="s">
        <v>119</v>
      </c>
      <c r="HG22" t="s">
        <v>120</v>
      </c>
      <c r="HI22" s="18">
        <v>44720</v>
      </c>
      <c r="HJ22" s="18">
        <v>44728</v>
      </c>
      <c r="HK22" s="18">
        <v>44732</v>
      </c>
      <c r="HL22" s="18">
        <v>44740</v>
      </c>
      <c r="HM22">
        <v>1.65</v>
      </c>
      <c r="HN22" t="s">
        <v>119</v>
      </c>
      <c r="HO22" t="s">
        <v>120</v>
      </c>
      <c r="HQ22" s="18">
        <v>44697</v>
      </c>
      <c r="HR22" s="18">
        <v>44747</v>
      </c>
      <c r="HS22" s="18">
        <v>44748</v>
      </c>
      <c r="HT22" s="18">
        <v>44773</v>
      </c>
      <c r="HU22">
        <v>1</v>
      </c>
      <c r="HV22" t="s">
        <v>119</v>
      </c>
      <c r="HW22" t="s">
        <v>120</v>
      </c>
      <c r="HY22" s="18">
        <v>44755</v>
      </c>
      <c r="HZ22" s="18">
        <v>44770</v>
      </c>
      <c r="IA22" s="18">
        <v>44771</v>
      </c>
      <c r="IB22" s="18">
        <v>44785</v>
      </c>
      <c r="IC22">
        <v>0.9</v>
      </c>
      <c r="ID22" t="s">
        <v>119</v>
      </c>
      <c r="IE22" t="s">
        <v>120</v>
      </c>
      <c r="IG22" s="18">
        <v>44678</v>
      </c>
      <c r="IH22" s="18">
        <v>44693</v>
      </c>
      <c r="II22" s="18">
        <v>44694</v>
      </c>
      <c r="IJ22" s="18">
        <v>44722</v>
      </c>
      <c r="IK22">
        <v>0.88</v>
      </c>
      <c r="IL22" t="s">
        <v>119</v>
      </c>
      <c r="IM22" t="s">
        <v>120</v>
      </c>
    </row>
    <row r="23" spans="1:247" x14ac:dyDescent="0.3">
      <c r="A23" s="18">
        <v>44637</v>
      </c>
      <c r="B23" s="18">
        <v>44638</v>
      </c>
      <c r="C23" s="18">
        <v>44641</v>
      </c>
      <c r="D23" s="18">
        <v>44680</v>
      </c>
      <c r="E23">
        <v>1.366009</v>
      </c>
      <c r="F23" t="s">
        <v>119</v>
      </c>
      <c r="G23" t="s">
        <v>123</v>
      </c>
      <c r="I23" s="18">
        <v>44729</v>
      </c>
      <c r="J23" s="18">
        <v>44733</v>
      </c>
      <c r="K23" s="18">
        <v>44734</v>
      </c>
      <c r="L23" s="18">
        <v>44771</v>
      </c>
      <c r="M23">
        <v>0.52739999999999998</v>
      </c>
      <c r="N23" t="s">
        <v>119</v>
      </c>
      <c r="O23" t="s">
        <v>123</v>
      </c>
      <c r="Q23" s="18">
        <v>44729</v>
      </c>
      <c r="R23" s="18">
        <v>44733</v>
      </c>
      <c r="S23" s="18">
        <v>44734</v>
      </c>
      <c r="T23" s="18">
        <v>44736</v>
      </c>
      <c r="U23">
        <v>0.16158400000000001</v>
      </c>
      <c r="V23" t="s">
        <v>119</v>
      </c>
      <c r="W23" t="s">
        <v>123</v>
      </c>
      <c r="AG23">
        <v>44588</v>
      </c>
      <c r="AH23">
        <v>44596</v>
      </c>
      <c r="AI23">
        <v>44599</v>
      </c>
      <c r="AJ23">
        <v>44602</v>
      </c>
      <c r="AK23">
        <v>0.22</v>
      </c>
      <c r="AL23" t="s">
        <v>119</v>
      </c>
      <c r="AM23" t="s">
        <v>120</v>
      </c>
      <c r="BM23" s="18">
        <v>44634</v>
      </c>
      <c r="BN23" s="18">
        <v>44699</v>
      </c>
      <c r="BO23" s="18">
        <v>44700</v>
      </c>
      <c r="BP23" s="18">
        <v>44721</v>
      </c>
      <c r="BQ23">
        <v>0.62</v>
      </c>
      <c r="BR23" t="s">
        <v>119</v>
      </c>
      <c r="BS23" t="s">
        <v>120</v>
      </c>
      <c r="CC23" s="18">
        <v>44706</v>
      </c>
      <c r="CD23" s="18">
        <v>44720</v>
      </c>
      <c r="CE23" s="18">
        <v>44721</v>
      </c>
      <c r="CF23" s="18">
        <v>44743</v>
      </c>
      <c r="CG23">
        <v>4.0000000000000001E-3</v>
      </c>
      <c r="CH23" t="s">
        <v>119</v>
      </c>
      <c r="CI23" t="s">
        <v>120</v>
      </c>
      <c r="DA23" s="18">
        <v>44607</v>
      </c>
      <c r="DB23" s="18">
        <v>44728</v>
      </c>
      <c r="DC23" s="18">
        <v>44729</v>
      </c>
      <c r="DD23" s="18">
        <v>44756</v>
      </c>
      <c r="DE23">
        <v>0.364647</v>
      </c>
      <c r="DF23" t="s">
        <v>119</v>
      </c>
      <c r="DG23" t="s">
        <v>120</v>
      </c>
      <c r="DI23" s="18">
        <v>44707</v>
      </c>
      <c r="DJ23" s="18">
        <v>44733</v>
      </c>
      <c r="DK23" s="18">
        <v>44734</v>
      </c>
      <c r="DL23" s="18">
        <v>44742</v>
      </c>
      <c r="DM23">
        <v>0.41</v>
      </c>
      <c r="DN23" t="s">
        <v>119</v>
      </c>
      <c r="DO23" t="s">
        <v>120</v>
      </c>
      <c r="DY23" s="18">
        <v>44550</v>
      </c>
      <c r="DZ23" s="18">
        <v>44561</v>
      </c>
      <c r="EA23" s="18">
        <v>44564</v>
      </c>
      <c r="EB23" s="18">
        <v>44579</v>
      </c>
      <c r="EC23">
        <v>0.1</v>
      </c>
      <c r="ED23" t="s">
        <v>119</v>
      </c>
      <c r="EE23" t="s">
        <v>120</v>
      </c>
      <c r="FU23" s="18">
        <v>44630</v>
      </c>
      <c r="FV23" s="18">
        <v>44658</v>
      </c>
      <c r="FW23" s="18">
        <v>44659</v>
      </c>
      <c r="FX23" s="18">
        <v>44672</v>
      </c>
      <c r="FY23">
        <v>0.32</v>
      </c>
      <c r="FZ23" t="s">
        <v>119</v>
      </c>
      <c r="GA23" t="s">
        <v>120</v>
      </c>
      <c r="HA23" s="18">
        <v>44543</v>
      </c>
      <c r="HB23" s="18">
        <v>44606</v>
      </c>
      <c r="HC23" s="18">
        <v>44607</v>
      </c>
      <c r="HD23" s="18">
        <v>44630</v>
      </c>
      <c r="HE23">
        <v>0.98</v>
      </c>
      <c r="HF23" t="s">
        <v>119</v>
      </c>
      <c r="HG23" t="s">
        <v>120</v>
      </c>
      <c r="HI23" s="18">
        <v>44608</v>
      </c>
      <c r="HJ23" s="18">
        <v>44631</v>
      </c>
      <c r="HK23" s="18">
        <v>44634</v>
      </c>
      <c r="HL23" s="18">
        <v>44642</v>
      </c>
      <c r="HM23">
        <v>1.45</v>
      </c>
      <c r="HN23" t="s">
        <v>119</v>
      </c>
      <c r="HO23" t="s">
        <v>120</v>
      </c>
      <c r="HQ23" s="18">
        <v>44635</v>
      </c>
      <c r="HR23" s="18">
        <v>44656</v>
      </c>
      <c r="HS23" s="18">
        <v>44657</v>
      </c>
      <c r="HT23" s="18">
        <v>44681</v>
      </c>
      <c r="HU23">
        <v>1</v>
      </c>
      <c r="HV23" t="s">
        <v>119</v>
      </c>
      <c r="HW23" t="s">
        <v>120</v>
      </c>
      <c r="HY23" s="18">
        <v>44664</v>
      </c>
      <c r="HZ23" s="18">
        <v>44679</v>
      </c>
      <c r="IA23" s="18">
        <v>44680</v>
      </c>
      <c r="IB23" s="18">
        <v>44694</v>
      </c>
      <c r="IC23">
        <v>0.9</v>
      </c>
      <c r="ID23" t="s">
        <v>119</v>
      </c>
      <c r="IE23" t="s">
        <v>120</v>
      </c>
      <c r="IG23" s="18">
        <v>44587</v>
      </c>
      <c r="IH23" s="18">
        <v>44601</v>
      </c>
      <c r="II23" s="18">
        <v>44602</v>
      </c>
      <c r="IJ23" s="18">
        <v>44630</v>
      </c>
      <c r="IK23">
        <v>0.88</v>
      </c>
      <c r="IL23" t="s">
        <v>119</v>
      </c>
      <c r="IM23" t="s">
        <v>120</v>
      </c>
    </row>
    <row r="24" spans="1:247" x14ac:dyDescent="0.3">
      <c r="A24" s="18">
        <v>44546</v>
      </c>
      <c r="B24" s="18">
        <v>44547</v>
      </c>
      <c r="C24" s="18">
        <v>44550</v>
      </c>
      <c r="D24" s="18">
        <v>44592</v>
      </c>
      <c r="E24">
        <v>1.636431</v>
      </c>
      <c r="F24" t="s">
        <v>119</v>
      </c>
      <c r="G24" t="s">
        <v>123</v>
      </c>
      <c r="I24" s="18">
        <v>44638</v>
      </c>
      <c r="J24" s="18">
        <v>44641</v>
      </c>
      <c r="K24" s="18">
        <v>44642</v>
      </c>
      <c r="L24" s="18">
        <v>44680</v>
      </c>
      <c r="M24">
        <v>0.43369000000000002</v>
      </c>
      <c r="N24" t="s">
        <v>119</v>
      </c>
      <c r="O24" t="s">
        <v>123</v>
      </c>
      <c r="Q24" s="18">
        <v>44638</v>
      </c>
      <c r="R24" s="18">
        <v>44641</v>
      </c>
      <c r="S24" s="18">
        <v>44642</v>
      </c>
      <c r="T24" s="18">
        <v>44644</v>
      </c>
      <c r="U24">
        <v>0.14280999999999999</v>
      </c>
      <c r="V24" t="s">
        <v>119</v>
      </c>
      <c r="W24" t="s">
        <v>123</v>
      </c>
      <c r="AG24">
        <v>44497</v>
      </c>
      <c r="AH24">
        <v>44505</v>
      </c>
      <c r="AI24">
        <v>44508</v>
      </c>
      <c r="AJ24">
        <v>44511</v>
      </c>
      <c r="AK24">
        <v>0.22</v>
      </c>
      <c r="AL24" t="s">
        <v>119</v>
      </c>
      <c r="AM24" t="s">
        <v>120</v>
      </c>
      <c r="BM24" s="18">
        <v>44537</v>
      </c>
      <c r="BN24" s="18">
        <v>44608</v>
      </c>
      <c r="BO24" s="18">
        <v>44609</v>
      </c>
      <c r="BP24" s="18">
        <v>44630</v>
      </c>
      <c r="BQ24">
        <v>0.62</v>
      </c>
      <c r="BR24" t="s">
        <v>119</v>
      </c>
      <c r="BS24" t="s">
        <v>120</v>
      </c>
      <c r="CC24" s="18">
        <v>44608</v>
      </c>
      <c r="CD24" s="18">
        <v>44622</v>
      </c>
      <c r="CE24" s="18">
        <v>44623</v>
      </c>
      <c r="CF24" s="18">
        <v>44644</v>
      </c>
      <c r="CG24">
        <v>4.0000000000000001E-3</v>
      </c>
      <c r="CH24" t="s">
        <v>119</v>
      </c>
      <c r="CI24" t="s">
        <v>120</v>
      </c>
      <c r="DA24" s="18">
        <v>44509</v>
      </c>
      <c r="DB24" s="18">
        <v>44636</v>
      </c>
      <c r="DC24" s="18">
        <v>44637</v>
      </c>
      <c r="DD24" s="18">
        <v>44665</v>
      </c>
      <c r="DE24">
        <v>0.37573400000000001</v>
      </c>
      <c r="DF24" t="s">
        <v>119</v>
      </c>
      <c r="DG24" t="s">
        <v>120</v>
      </c>
      <c r="DI24" s="18">
        <v>44623</v>
      </c>
      <c r="DJ24" s="18">
        <v>44641</v>
      </c>
      <c r="DK24" s="18">
        <v>44642</v>
      </c>
      <c r="DL24" s="18">
        <v>44651</v>
      </c>
      <c r="DM24">
        <v>0.41</v>
      </c>
      <c r="DN24" t="s">
        <v>119</v>
      </c>
      <c r="DO24" t="s">
        <v>120</v>
      </c>
      <c r="DY24" s="18">
        <v>44410</v>
      </c>
      <c r="DZ24" s="18">
        <v>44469</v>
      </c>
      <c r="EA24" s="18">
        <v>44470</v>
      </c>
      <c r="EB24" s="18">
        <v>44487</v>
      </c>
      <c r="EC24">
        <v>0.1</v>
      </c>
      <c r="ED24" t="s">
        <v>119</v>
      </c>
      <c r="EE24" t="s">
        <v>120</v>
      </c>
      <c r="FU24" s="18">
        <v>44539</v>
      </c>
      <c r="FV24" s="18">
        <v>44567</v>
      </c>
      <c r="FW24" s="18">
        <v>44568</v>
      </c>
      <c r="FX24" s="18">
        <v>44580</v>
      </c>
      <c r="FY24">
        <v>0.32</v>
      </c>
      <c r="FZ24" t="s">
        <v>119</v>
      </c>
      <c r="GA24" t="s">
        <v>120</v>
      </c>
      <c r="HA24" s="18">
        <v>44487</v>
      </c>
      <c r="HB24" s="18">
        <v>44512</v>
      </c>
      <c r="HC24" s="18">
        <v>44515</v>
      </c>
      <c r="HD24" s="18">
        <v>44540</v>
      </c>
      <c r="HE24">
        <v>0.85</v>
      </c>
      <c r="HF24" t="s">
        <v>119</v>
      </c>
      <c r="HG24" t="s">
        <v>120</v>
      </c>
      <c r="HI24" s="18">
        <v>44505</v>
      </c>
      <c r="HJ24" s="18">
        <v>44533</v>
      </c>
      <c r="HK24" s="18">
        <v>44536</v>
      </c>
      <c r="HL24" s="18">
        <v>44544</v>
      </c>
      <c r="HM24">
        <v>1.45</v>
      </c>
      <c r="HN24" t="s">
        <v>119</v>
      </c>
      <c r="HO24" t="s">
        <v>120</v>
      </c>
      <c r="HQ24" s="18">
        <v>44544</v>
      </c>
      <c r="HR24" s="18">
        <v>44566</v>
      </c>
      <c r="HS24" s="18">
        <v>44567</v>
      </c>
      <c r="HT24" s="18">
        <v>44592</v>
      </c>
      <c r="HU24">
        <v>1</v>
      </c>
      <c r="HV24" t="s">
        <v>119</v>
      </c>
      <c r="HW24" t="s">
        <v>120</v>
      </c>
      <c r="HY24" s="18">
        <v>44581</v>
      </c>
      <c r="HZ24" s="18">
        <v>44595</v>
      </c>
      <c r="IA24" s="18">
        <v>44596</v>
      </c>
      <c r="IB24" s="18">
        <v>44610</v>
      </c>
      <c r="IC24">
        <v>0.79</v>
      </c>
      <c r="ID24" t="s">
        <v>119</v>
      </c>
      <c r="IE24" t="s">
        <v>120</v>
      </c>
      <c r="IG24" s="18">
        <v>44496</v>
      </c>
      <c r="IH24" s="18">
        <v>44510</v>
      </c>
      <c r="II24" s="18">
        <v>44512</v>
      </c>
      <c r="IJ24" s="18">
        <v>44540</v>
      </c>
      <c r="IK24">
        <v>0.88</v>
      </c>
      <c r="IL24" t="s">
        <v>119</v>
      </c>
      <c r="IM24" t="s">
        <v>120</v>
      </c>
    </row>
    <row r="25" spans="1:247" x14ac:dyDescent="0.3">
      <c r="A25" s="18">
        <v>44455</v>
      </c>
      <c r="B25" s="18">
        <v>44456</v>
      </c>
      <c r="C25" s="18">
        <v>44459</v>
      </c>
      <c r="D25" s="18">
        <v>44498</v>
      </c>
      <c r="E25">
        <v>1.4281170000000001</v>
      </c>
      <c r="F25" t="s">
        <v>119</v>
      </c>
      <c r="G25" t="s">
        <v>123</v>
      </c>
      <c r="I25" s="18">
        <v>44547</v>
      </c>
      <c r="J25" s="18">
        <v>44550</v>
      </c>
      <c r="K25" s="18">
        <v>44551</v>
      </c>
      <c r="L25" s="18">
        <v>44561</v>
      </c>
      <c r="M25">
        <v>0.49141000000000001</v>
      </c>
      <c r="N25" t="s">
        <v>119</v>
      </c>
      <c r="O25" t="s">
        <v>123</v>
      </c>
      <c r="Q25" s="18">
        <v>44547</v>
      </c>
      <c r="R25" s="18">
        <v>44550</v>
      </c>
      <c r="S25" s="18">
        <v>44551</v>
      </c>
      <c r="T25" s="18">
        <v>44553</v>
      </c>
      <c r="U25">
        <v>0.158272</v>
      </c>
      <c r="V25" t="s">
        <v>119</v>
      </c>
      <c r="W25" t="s">
        <v>123</v>
      </c>
      <c r="AG25">
        <v>44404</v>
      </c>
      <c r="AH25">
        <v>44414</v>
      </c>
      <c r="AI25">
        <v>44417</v>
      </c>
      <c r="AJ25">
        <v>44420</v>
      </c>
      <c r="AK25">
        <v>0.22</v>
      </c>
      <c r="AL25" t="s">
        <v>119</v>
      </c>
      <c r="AM25" t="s">
        <v>120</v>
      </c>
      <c r="BM25" s="18">
        <v>44453</v>
      </c>
      <c r="BN25" s="18">
        <v>44517</v>
      </c>
      <c r="BO25" s="18">
        <v>44518</v>
      </c>
      <c r="BP25" s="18">
        <v>44539</v>
      </c>
      <c r="BQ25">
        <v>0.62</v>
      </c>
      <c r="BR25" t="s">
        <v>119</v>
      </c>
      <c r="BS25" t="s">
        <v>120</v>
      </c>
      <c r="CC25" s="18">
        <v>44517</v>
      </c>
      <c r="CD25" s="18">
        <v>44531</v>
      </c>
      <c r="CE25" s="18">
        <v>44532</v>
      </c>
      <c r="CF25" s="18">
        <v>44553</v>
      </c>
      <c r="CG25">
        <v>4.0000000000000001E-3</v>
      </c>
      <c r="CH25" t="s">
        <v>119</v>
      </c>
      <c r="CI25" t="s">
        <v>120</v>
      </c>
      <c r="DA25" s="18">
        <v>44419</v>
      </c>
      <c r="DB25" s="18">
        <v>44546</v>
      </c>
      <c r="DC25" s="18">
        <v>44547</v>
      </c>
      <c r="DD25" s="18">
        <v>44574</v>
      </c>
      <c r="DE25">
        <v>0.39261499999999999</v>
      </c>
      <c r="DF25" t="s">
        <v>119</v>
      </c>
      <c r="DG25" t="s">
        <v>120</v>
      </c>
      <c r="DI25" s="18">
        <v>44539</v>
      </c>
      <c r="DJ25" s="18">
        <v>44551</v>
      </c>
      <c r="DK25" s="18">
        <v>44552</v>
      </c>
      <c r="DL25" s="18">
        <v>44561</v>
      </c>
      <c r="DM25">
        <v>0.41</v>
      </c>
      <c r="DN25" t="s">
        <v>119</v>
      </c>
      <c r="DO25" t="s">
        <v>120</v>
      </c>
      <c r="DY25" s="18">
        <v>42571</v>
      </c>
      <c r="DZ25" s="18">
        <v>42571</v>
      </c>
      <c r="EA25" s="18">
        <v>42583</v>
      </c>
      <c r="EB25" s="18" t="s">
        <v>125</v>
      </c>
      <c r="EC25">
        <v>1</v>
      </c>
      <c r="ED25" t="s">
        <v>121</v>
      </c>
      <c r="EE25" t="s">
        <v>130</v>
      </c>
      <c r="FU25" s="18">
        <v>44452</v>
      </c>
      <c r="FV25" s="18">
        <v>44477</v>
      </c>
      <c r="FW25" s="18">
        <v>44481</v>
      </c>
      <c r="FX25" s="18">
        <v>44495</v>
      </c>
      <c r="FY25">
        <v>0.32</v>
      </c>
      <c r="FZ25" t="s">
        <v>119</v>
      </c>
      <c r="GA25" t="s">
        <v>120</v>
      </c>
      <c r="HA25" s="18">
        <v>44376</v>
      </c>
      <c r="HB25" s="18">
        <v>44420</v>
      </c>
      <c r="HC25" s="18">
        <v>44421</v>
      </c>
      <c r="HD25" s="18">
        <v>44449</v>
      </c>
      <c r="HE25">
        <v>0.85</v>
      </c>
      <c r="HF25" t="s">
        <v>119</v>
      </c>
      <c r="HG25" t="s">
        <v>120</v>
      </c>
      <c r="HI25" s="18">
        <v>44419</v>
      </c>
      <c r="HJ25" s="18">
        <v>44449</v>
      </c>
      <c r="HK25" s="18">
        <v>44452</v>
      </c>
      <c r="HL25" s="18">
        <v>44460</v>
      </c>
      <c r="HM25">
        <v>1.45</v>
      </c>
      <c r="HN25" t="s">
        <v>119</v>
      </c>
      <c r="HO25" t="s">
        <v>120</v>
      </c>
      <c r="HQ25" s="18">
        <v>44460</v>
      </c>
      <c r="HR25" s="18">
        <v>44474</v>
      </c>
      <c r="HS25" s="18">
        <v>44475</v>
      </c>
      <c r="HT25" s="18">
        <v>44500</v>
      </c>
      <c r="HU25">
        <v>1</v>
      </c>
      <c r="HV25" t="s">
        <v>119</v>
      </c>
      <c r="HW25" t="s">
        <v>120</v>
      </c>
      <c r="HY25" s="18">
        <v>44482</v>
      </c>
      <c r="HZ25" s="18">
        <v>44497</v>
      </c>
      <c r="IA25" s="18">
        <v>44498</v>
      </c>
      <c r="IB25" s="18">
        <v>44512</v>
      </c>
      <c r="IC25">
        <v>0.79</v>
      </c>
      <c r="ID25" t="s">
        <v>119</v>
      </c>
      <c r="IE25" t="s">
        <v>120</v>
      </c>
      <c r="IG25" s="18">
        <v>44405</v>
      </c>
      <c r="IH25" s="18">
        <v>44420</v>
      </c>
      <c r="II25" s="18">
        <v>44421</v>
      </c>
      <c r="IJ25" s="18">
        <v>44449</v>
      </c>
      <c r="IK25">
        <v>0.87</v>
      </c>
      <c r="IL25" t="s">
        <v>119</v>
      </c>
      <c r="IM25" t="s">
        <v>120</v>
      </c>
    </row>
    <row r="26" spans="1:247" x14ac:dyDescent="0.3">
      <c r="A26" s="18">
        <v>44364</v>
      </c>
      <c r="B26" s="18">
        <v>44365</v>
      </c>
      <c r="C26" s="18">
        <v>44368</v>
      </c>
      <c r="D26" s="18">
        <v>44407</v>
      </c>
      <c r="E26">
        <v>1.375875</v>
      </c>
      <c r="F26" t="s">
        <v>119</v>
      </c>
      <c r="G26" t="s">
        <v>123</v>
      </c>
      <c r="I26" s="18">
        <v>44456</v>
      </c>
      <c r="J26" s="18">
        <v>44459</v>
      </c>
      <c r="K26" s="18">
        <v>44460</v>
      </c>
      <c r="L26" s="18">
        <v>44498</v>
      </c>
      <c r="M26">
        <v>0.41391</v>
      </c>
      <c r="N26" t="s">
        <v>119</v>
      </c>
      <c r="O26" t="s">
        <v>123</v>
      </c>
      <c r="Q26" s="18">
        <v>44456</v>
      </c>
      <c r="R26" s="18">
        <v>44459</v>
      </c>
      <c r="S26" s="18">
        <v>44460</v>
      </c>
      <c r="T26" s="18">
        <v>44462</v>
      </c>
      <c r="U26">
        <v>0.136431</v>
      </c>
      <c r="V26" t="s">
        <v>119</v>
      </c>
      <c r="W26" t="s">
        <v>123</v>
      </c>
      <c r="AG26">
        <v>44314</v>
      </c>
      <c r="AH26">
        <v>44323</v>
      </c>
      <c r="AI26">
        <v>44326</v>
      </c>
      <c r="AJ26">
        <v>44329</v>
      </c>
      <c r="AK26">
        <v>0.22</v>
      </c>
      <c r="AL26" t="s">
        <v>119</v>
      </c>
      <c r="AM26" t="s">
        <v>120</v>
      </c>
      <c r="BM26" s="18">
        <v>44363</v>
      </c>
      <c r="BN26" s="18">
        <v>44426</v>
      </c>
      <c r="BO26" s="18">
        <v>44427</v>
      </c>
      <c r="BP26" s="18">
        <v>44448</v>
      </c>
      <c r="BQ26">
        <v>0.56000000000000005</v>
      </c>
      <c r="BR26" t="s">
        <v>119</v>
      </c>
      <c r="BS26" t="s">
        <v>120</v>
      </c>
      <c r="CC26" s="18">
        <v>44426</v>
      </c>
      <c r="CD26" s="18">
        <v>44439</v>
      </c>
      <c r="CE26" s="18">
        <v>44440</v>
      </c>
      <c r="CF26" s="18">
        <v>44462</v>
      </c>
      <c r="CG26">
        <v>4.0000000000000001E-3</v>
      </c>
      <c r="CH26" t="s">
        <v>119</v>
      </c>
      <c r="CI26" t="s">
        <v>120</v>
      </c>
      <c r="DA26" s="18">
        <v>44357</v>
      </c>
      <c r="DB26" s="18">
        <v>44455</v>
      </c>
      <c r="DC26" s="18">
        <v>44456</v>
      </c>
      <c r="DD26" s="18">
        <v>44483</v>
      </c>
      <c r="DE26">
        <v>0.38808399999999998</v>
      </c>
      <c r="DF26" t="s">
        <v>119</v>
      </c>
      <c r="DG26" t="s">
        <v>120</v>
      </c>
      <c r="DI26" s="18">
        <v>44441</v>
      </c>
      <c r="DJ26" s="18">
        <v>44460</v>
      </c>
      <c r="DK26" s="18">
        <v>44461</v>
      </c>
      <c r="DL26" s="18">
        <v>44469</v>
      </c>
      <c r="DM26">
        <v>0.36</v>
      </c>
      <c r="DN26" t="s">
        <v>119</v>
      </c>
      <c r="DO26" t="s">
        <v>120</v>
      </c>
      <c r="FU26" s="18">
        <v>44362</v>
      </c>
      <c r="FV26" s="18">
        <v>44391</v>
      </c>
      <c r="FW26" s="18">
        <v>44392</v>
      </c>
      <c r="FX26" s="18">
        <v>44406</v>
      </c>
      <c r="FY26">
        <v>0.32</v>
      </c>
      <c r="FZ26" t="s">
        <v>119</v>
      </c>
      <c r="GA26" t="s">
        <v>120</v>
      </c>
      <c r="HA26" s="18">
        <v>44319</v>
      </c>
      <c r="HB26" s="18">
        <v>44329</v>
      </c>
      <c r="HC26" s="18">
        <v>44330</v>
      </c>
      <c r="HD26" s="18">
        <v>44357</v>
      </c>
      <c r="HE26">
        <v>0.85</v>
      </c>
      <c r="HF26" t="s">
        <v>119</v>
      </c>
      <c r="HG26" t="s">
        <v>120</v>
      </c>
      <c r="HI26" s="18">
        <v>44356</v>
      </c>
      <c r="HJ26" s="18">
        <v>44365</v>
      </c>
      <c r="HK26" s="18">
        <v>44368</v>
      </c>
      <c r="HL26" s="18">
        <v>44376</v>
      </c>
      <c r="HM26">
        <v>1.45</v>
      </c>
      <c r="HN26" t="s">
        <v>119</v>
      </c>
      <c r="HO26" t="s">
        <v>120</v>
      </c>
      <c r="HQ26" s="18">
        <v>44333</v>
      </c>
      <c r="HR26" s="18">
        <v>44379</v>
      </c>
      <c r="HS26" s="18">
        <v>44383</v>
      </c>
      <c r="HT26" s="18">
        <v>44408</v>
      </c>
      <c r="HU26">
        <v>0.9</v>
      </c>
      <c r="HV26" t="s">
        <v>119</v>
      </c>
      <c r="HW26" t="s">
        <v>120</v>
      </c>
      <c r="HY26" s="18">
        <v>44390</v>
      </c>
      <c r="HZ26" s="18">
        <v>44406</v>
      </c>
      <c r="IA26" s="18">
        <v>44407</v>
      </c>
      <c r="IB26" s="18">
        <v>44421</v>
      </c>
      <c r="IC26">
        <v>0.79</v>
      </c>
      <c r="ID26" t="s">
        <v>119</v>
      </c>
      <c r="IE26" t="s">
        <v>120</v>
      </c>
      <c r="IG26" s="18">
        <v>44314</v>
      </c>
      <c r="IH26" s="18">
        <v>44328</v>
      </c>
      <c r="II26" s="18">
        <v>44329</v>
      </c>
      <c r="IJ26" s="18">
        <v>44357</v>
      </c>
      <c r="IK26">
        <v>0.87</v>
      </c>
      <c r="IL26" t="s">
        <v>119</v>
      </c>
      <c r="IM26" t="s">
        <v>120</v>
      </c>
    </row>
    <row r="27" spans="1:247" x14ac:dyDescent="0.3">
      <c r="A27" s="18">
        <v>44273</v>
      </c>
      <c r="B27" s="18">
        <v>44274</v>
      </c>
      <c r="C27" s="18">
        <v>44277</v>
      </c>
      <c r="D27" s="18">
        <v>44316</v>
      </c>
      <c r="E27">
        <v>1.2777879999999999</v>
      </c>
      <c r="F27" t="s">
        <v>119</v>
      </c>
      <c r="G27" t="s">
        <v>123</v>
      </c>
      <c r="I27" s="18">
        <v>44365</v>
      </c>
      <c r="J27" s="18">
        <v>44368</v>
      </c>
      <c r="K27" s="18">
        <v>44369</v>
      </c>
      <c r="L27" s="18">
        <v>44407</v>
      </c>
      <c r="M27">
        <v>0.39678999999999998</v>
      </c>
      <c r="N27" t="s">
        <v>119</v>
      </c>
      <c r="O27" t="s">
        <v>123</v>
      </c>
      <c r="Q27" s="18">
        <v>44365</v>
      </c>
      <c r="R27" s="18">
        <v>44368</v>
      </c>
      <c r="S27" s="18">
        <v>44369</v>
      </c>
      <c r="T27" s="18">
        <v>44371</v>
      </c>
      <c r="U27">
        <v>0.129746</v>
      </c>
      <c r="V27" t="s">
        <v>119</v>
      </c>
      <c r="W27" t="s">
        <v>123</v>
      </c>
      <c r="AG27">
        <v>44223</v>
      </c>
      <c r="AH27">
        <v>44232</v>
      </c>
      <c r="AI27">
        <v>44235</v>
      </c>
      <c r="AJ27">
        <v>44238</v>
      </c>
      <c r="AK27">
        <v>0.20499999999999999</v>
      </c>
      <c r="AL27" t="s">
        <v>119</v>
      </c>
      <c r="AM27" t="s">
        <v>120</v>
      </c>
      <c r="BM27" s="18">
        <v>44271</v>
      </c>
      <c r="BN27" s="18">
        <v>44335</v>
      </c>
      <c r="BO27" s="18">
        <v>44336</v>
      </c>
      <c r="BP27" s="18">
        <v>44357</v>
      </c>
      <c r="BQ27">
        <v>0.56000000000000005</v>
      </c>
      <c r="BR27" t="s">
        <v>119</v>
      </c>
      <c r="BS27" t="s">
        <v>120</v>
      </c>
      <c r="CC27" s="18">
        <v>44337</v>
      </c>
      <c r="CD27" s="18">
        <v>44397</v>
      </c>
      <c r="CE27" s="18">
        <v>44368</v>
      </c>
      <c r="CF27" s="18">
        <v>44396</v>
      </c>
      <c r="CG27">
        <v>3</v>
      </c>
      <c r="CH27" t="s">
        <v>121</v>
      </c>
      <c r="CI27" t="s">
        <v>129</v>
      </c>
      <c r="DA27" s="18">
        <v>44236</v>
      </c>
      <c r="DB27" s="18">
        <v>44364</v>
      </c>
      <c r="DC27" s="18">
        <v>44365</v>
      </c>
      <c r="DD27" s="18">
        <v>44392</v>
      </c>
      <c r="DE27">
        <v>0.35202499999999998</v>
      </c>
      <c r="DF27" t="s">
        <v>119</v>
      </c>
      <c r="DG27" t="s">
        <v>120</v>
      </c>
      <c r="DI27" s="18">
        <v>44350</v>
      </c>
      <c r="DJ27" s="18">
        <v>44368</v>
      </c>
      <c r="DK27" s="18">
        <v>44369</v>
      </c>
      <c r="DL27" s="18">
        <v>44377</v>
      </c>
      <c r="DM27">
        <v>0.36</v>
      </c>
      <c r="DN27" t="s">
        <v>119</v>
      </c>
      <c r="DO27" t="s">
        <v>120</v>
      </c>
      <c r="FU27" s="18">
        <v>44265</v>
      </c>
      <c r="FV27" s="18">
        <v>44293</v>
      </c>
      <c r="FW27" s="18">
        <v>44294</v>
      </c>
      <c r="FX27" s="18">
        <v>44308</v>
      </c>
      <c r="FY27">
        <v>0.32</v>
      </c>
      <c r="FZ27" t="s">
        <v>119</v>
      </c>
      <c r="GA27" t="s">
        <v>120</v>
      </c>
      <c r="HA27" s="18">
        <v>44179</v>
      </c>
      <c r="HB27" s="18">
        <v>44238</v>
      </c>
      <c r="HC27" s="18">
        <v>44239</v>
      </c>
      <c r="HD27" s="18">
        <v>44265</v>
      </c>
      <c r="HE27">
        <v>0.85</v>
      </c>
      <c r="HF27" t="s">
        <v>119</v>
      </c>
      <c r="HG27" t="s">
        <v>120</v>
      </c>
      <c r="HI27" s="18">
        <v>44251</v>
      </c>
      <c r="HJ27" s="18">
        <v>44267</v>
      </c>
      <c r="HK27" s="18">
        <v>44270</v>
      </c>
      <c r="HL27" s="18">
        <v>44278</v>
      </c>
      <c r="HM27">
        <v>1.25</v>
      </c>
      <c r="HN27" t="s">
        <v>119</v>
      </c>
      <c r="HO27" t="s">
        <v>120</v>
      </c>
      <c r="HQ27" s="18">
        <v>44271</v>
      </c>
      <c r="HR27" s="18">
        <v>44291</v>
      </c>
      <c r="HS27" s="18">
        <v>44292</v>
      </c>
      <c r="HT27" s="18">
        <v>44316</v>
      </c>
      <c r="HU27">
        <v>0.9</v>
      </c>
      <c r="HV27" t="s">
        <v>119</v>
      </c>
      <c r="HW27" t="s">
        <v>120</v>
      </c>
      <c r="HY27" s="18">
        <v>44300</v>
      </c>
      <c r="HZ27" s="18">
        <v>44315</v>
      </c>
      <c r="IA27" s="18">
        <v>44316</v>
      </c>
      <c r="IB27" s="18">
        <v>44330</v>
      </c>
      <c r="IC27">
        <v>0.79</v>
      </c>
      <c r="ID27" t="s">
        <v>119</v>
      </c>
      <c r="IE27" t="s">
        <v>120</v>
      </c>
      <c r="IG27" s="18">
        <v>44223</v>
      </c>
      <c r="IH27" s="18">
        <v>44236</v>
      </c>
      <c r="II27" s="18">
        <v>44237</v>
      </c>
      <c r="IJ27" s="18">
        <v>44265</v>
      </c>
      <c r="IK27">
        <v>0.87</v>
      </c>
      <c r="IL27" t="s">
        <v>119</v>
      </c>
      <c r="IM27" t="s">
        <v>120</v>
      </c>
    </row>
    <row r="28" spans="1:247" x14ac:dyDescent="0.3">
      <c r="A28" s="18">
        <v>44182</v>
      </c>
      <c r="B28" s="18">
        <v>44183</v>
      </c>
      <c r="C28" s="18">
        <v>44186</v>
      </c>
      <c r="D28" s="18">
        <v>44225</v>
      </c>
      <c r="E28">
        <v>1.58</v>
      </c>
      <c r="F28" t="s">
        <v>119</v>
      </c>
      <c r="G28" t="s">
        <v>123</v>
      </c>
      <c r="I28" s="18">
        <v>44274</v>
      </c>
      <c r="J28" s="18">
        <v>44277</v>
      </c>
      <c r="K28" s="18">
        <v>44278</v>
      </c>
      <c r="L28" s="18">
        <v>44316</v>
      </c>
      <c r="M28">
        <v>0.39467999999999998</v>
      </c>
      <c r="N28" t="s">
        <v>119</v>
      </c>
      <c r="O28" t="s">
        <v>123</v>
      </c>
      <c r="Q28" s="18">
        <v>44274</v>
      </c>
      <c r="R28" s="18">
        <v>44277</v>
      </c>
      <c r="S28" s="18">
        <v>44278</v>
      </c>
      <c r="T28" s="18">
        <v>44280</v>
      </c>
      <c r="U28">
        <v>0.136575</v>
      </c>
      <c r="V28" t="s">
        <v>119</v>
      </c>
      <c r="W28" t="s">
        <v>123</v>
      </c>
      <c r="AG28">
        <v>44133</v>
      </c>
      <c r="AH28">
        <v>44141</v>
      </c>
      <c r="AI28">
        <v>44144</v>
      </c>
      <c r="AJ28">
        <v>44147</v>
      </c>
      <c r="AK28">
        <v>0.20499999999999999</v>
      </c>
      <c r="AL28" t="s">
        <v>119</v>
      </c>
      <c r="AM28" t="s">
        <v>120</v>
      </c>
      <c r="BM28" s="18">
        <v>44167</v>
      </c>
      <c r="BN28" s="18">
        <v>44244</v>
      </c>
      <c r="BO28" s="18">
        <v>44245</v>
      </c>
      <c r="BP28" s="18">
        <v>44266</v>
      </c>
      <c r="BQ28">
        <v>0.56000000000000005</v>
      </c>
      <c r="BR28" t="s">
        <v>119</v>
      </c>
      <c r="BS28" t="s">
        <v>120</v>
      </c>
      <c r="CC28" s="18">
        <v>44342</v>
      </c>
      <c r="CD28" s="18">
        <v>44356</v>
      </c>
      <c r="CE28" s="18">
        <v>44357</v>
      </c>
      <c r="CF28" s="18">
        <v>44378</v>
      </c>
      <c r="CG28">
        <v>4.0000000000000001E-3</v>
      </c>
      <c r="CH28" t="s">
        <v>119</v>
      </c>
      <c r="CI28" t="s">
        <v>120</v>
      </c>
      <c r="DA28" s="18">
        <v>44145</v>
      </c>
      <c r="DB28" s="18">
        <v>44272</v>
      </c>
      <c r="DC28" s="18">
        <v>44273</v>
      </c>
      <c r="DD28" s="18">
        <v>44301</v>
      </c>
      <c r="DE28">
        <v>0.34747800000000001</v>
      </c>
      <c r="DF28" t="s">
        <v>119</v>
      </c>
      <c r="DG28" t="s">
        <v>120</v>
      </c>
      <c r="DI28" s="18">
        <v>44259</v>
      </c>
      <c r="DJ28" s="18">
        <v>44274</v>
      </c>
      <c r="DK28" s="18">
        <v>44277</v>
      </c>
      <c r="DL28" s="18">
        <v>44286</v>
      </c>
      <c r="DM28">
        <v>0.36</v>
      </c>
      <c r="DN28" t="s">
        <v>119</v>
      </c>
      <c r="DO28" t="s">
        <v>120</v>
      </c>
      <c r="FU28" s="18">
        <v>44175</v>
      </c>
      <c r="FV28" s="18">
        <v>44202</v>
      </c>
      <c r="FW28" s="18">
        <v>44203</v>
      </c>
      <c r="FX28" s="18">
        <v>44217</v>
      </c>
      <c r="FY28">
        <v>0.24</v>
      </c>
      <c r="FZ28" t="s">
        <v>119</v>
      </c>
      <c r="GA28" t="s">
        <v>120</v>
      </c>
      <c r="HA28" s="18">
        <v>44123</v>
      </c>
      <c r="HB28" s="18">
        <v>44147</v>
      </c>
      <c r="HC28" s="18">
        <v>44148</v>
      </c>
      <c r="HD28" s="18">
        <v>44175</v>
      </c>
      <c r="HE28">
        <v>0.74</v>
      </c>
      <c r="HF28" t="s">
        <v>119</v>
      </c>
      <c r="HG28" t="s">
        <v>120</v>
      </c>
      <c r="HI28" s="18">
        <v>44139</v>
      </c>
      <c r="HJ28" s="18">
        <v>44169</v>
      </c>
      <c r="HK28" s="18">
        <v>44172</v>
      </c>
      <c r="HL28" s="18">
        <v>44180</v>
      </c>
      <c r="HM28">
        <v>1.25</v>
      </c>
      <c r="HN28" t="s">
        <v>119</v>
      </c>
      <c r="HO28" t="s">
        <v>120</v>
      </c>
      <c r="HQ28" s="18">
        <v>44173</v>
      </c>
      <c r="HR28" s="18">
        <v>44201</v>
      </c>
      <c r="HS28" s="18">
        <v>44202</v>
      </c>
      <c r="HT28" s="18">
        <v>44227</v>
      </c>
      <c r="HU28">
        <v>0.9</v>
      </c>
      <c r="HV28" t="s">
        <v>119</v>
      </c>
      <c r="HW28" t="s">
        <v>120</v>
      </c>
      <c r="HY28" s="18">
        <v>44217</v>
      </c>
      <c r="HZ28" s="18">
        <v>44231</v>
      </c>
      <c r="IA28" s="18">
        <v>44232</v>
      </c>
      <c r="IB28" s="18">
        <v>44246</v>
      </c>
      <c r="IC28">
        <v>0.7</v>
      </c>
      <c r="ID28" t="s">
        <v>119</v>
      </c>
      <c r="IE28" t="s">
        <v>120</v>
      </c>
      <c r="IG28" s="18">
        <v>44132</v>
      </c>
      <c r="IH28" s="18">
        <v>44145</v>
      </c>
      <c r="II28" s="18">
        <v>44147</v>
      </c>
      <c r="IJ28" s="18">
        <v>44175</v>
      </c>
      <c r="IK28">
        <v>0.87</v>
      </c>
      <c r="IL28" t="s">
        <v>119</v>
      </c>
      <c r="IM28" t="s">
        <v>120</v>
      </c>
    </row>
    <row r="29" spans="1:247" x14ac:dyDescent="0.3">
      <c r="A29" s="18">
        <v>44091</v>
      </c>
      <c r="B29" s="18">
        <v>44092</v>
      </c>
      <c r="C29" s="18">
        <v>44095</v>
      </c>
      <c r="D29" s="18">
        <v>44134</v>
      </c>
      <c r="E29">
        <v>1.339224</v>
      </c>
      <c r="F29" t="s">
        <v>119</v>
      </c>
      <c r="G29" t="s">
        <v>123</v>
      </c>
      <c r="I29" s="18">
        <v>44183</v>
      </c>
      <c r="J29" s="18">
        <v>44186</v>
      </c>
      <c r="K29" s="18">
        <v>44187</v>
      </c>
      <c r="L29" s="18">
        <v>44196</v>
      </c>
      <c r="M29">
        <v>0.56133</v>
      </c>
      <c r="N29" t="s">
        <v>119</v>
      </c>
      <c r="O29" t="s">
        <v>123</v>
      </c>
      <c r="Q29" s="18">
        <v>44183</v>
      </c>
      <c r="R29" s="18">
        <v>44186</v>
      </c>
      <c r="S29" s="18">
        <v>44187</v>
      </c>
      <c r="T29" s="18">
        <v>44189</v>
      </c>
      <c r="U29">
        <v>0.14882100000000001</v>
      </c>
      <c r="V29" t="s">
        <v>119</v>
      </c>
      <c r="W29" t="s">
        <v>123</v>
      </c>
      <c r="AG29">
        <v>44042</v>
      </c>
      <c r="AH29">
        <v>44074</v>
      </c>
      <c r="AI29">
        <v>44067</v>
      </c>
      <c r="AJ29">
        <v>44071</v>
      </c>
      <c r="AK29">
        <v>4</v>
      </c>
      <c r="AL29" t="s">
        <v>121</v>
      </c>
      <c r="AM29" t="s">
        <v>122</v>
      </c>
      <c r="BM29" s="18">
        <v>44089</v>
      </c>
      <c r="BN29" s="18">
        <v>44153</v>
      </c>
      <c r="BO29" s="18">
        <v>44154</v>
      </c>
      <c r="BP29" s="18">
        <v>44175</v>
      </c>
      <c r="BQ29">
        <v>0.56000000000000005</v>
      </c>
      <c r="BR29" t="s">
        <v>119</v>
      </c>
      <c r="BS29" t="s">
        <v>120</v>
      </c>
      <c r="CC29" s="18">
        <v>44251</v>
      </c>
      <c r="CD29" s="18">
        <v>44264</v>
      </c>
      <c r="CE29" s="18">
        <v>44265</v>
      </c>
      <c r="CF29" s="18">
        <v>44286</v>
      </c>
      <c r="CG29">
        <v>4.0000000000000001E-3</v>
      </c>
      <c r="CH29" t="s">
        <v>119</v>
      </c>
      <c r="CI29" t="s">
        <v>120</v>
      </c>
      <c r="DA29" s="18">
        <v>44055</v>
      </c>
      <c r="DB29" s="18">
        <v>44182</v>
      </c>
      <c r="DC29" s="18">
        <v>44183</v>
      </c>
      <c r="DD29" s="18">
        <v>44210</v>
      </c>
      <c r="DE29">
        <v>0.35267799999999999</v>
      </c>
      <c r="DF29" t="s">
        <v>119</v>
      </c>
      <c r="DG29" t="s">
        <v>120</v>
      </c>
      <c r="DI29" s="18">
        <v>44175</v>
      </c>
      <c r="DJ29" s="18">
        <v>44183</v>
      </c>
      <c r="DK29" s="18">
        <v>44186</v>
      </c>
      <c r="DL29" s="18">
        <v>44196</v>
      </c>
      <c r="DM29">
        <v>0.36</v>
      </c>
      <c r="DN29" t="s">
        <v>119</v>
      </c>
      <c r="DO29" t="s">
        <v>120</v>
      </c>
      <c r="FU29" s="18">
        <v>44084</v>
      </c>
      <c r="FV29" s="18">
        <v>44111</v>
      </c>
      <c r="FW29" s="18">
        <v>44112</v>
      </c>
      <c r="FX29" s="18">
        <v>44126</v>
      </c>
      <c r="FY29">
        <v>0.24</v>
      </c>
      <c r="FZ29" t="s">
        <v>119</v>
      </c>
      <c r="GA29" t="s">
        <v>120</v>
      </c>
      <c r="HA29" s="18">
        <v>44027</v>
      </c>
      <c r="HB29" s="18">
        <v>44056</v>
      </c>
      <c r="HC29" s="18">
        <v>44057</v>
      </c>
      <c r="HD29" s="18">
        <v>44084</v>
      </c>
      <c r="HE29">
        <v>0.74</v>
      </c>
      <c r="HF29" t="s">
        <v>119</v>
      </c>
      <c r="HG29" t="s">
        <v>120</v>
      </c>
      <c r="HI29" s="18">
        <v>44048</v>
      </c>
      <c r="HJ29" s="18">
        <v>44085</v>
      </c>
      <c r="HK29" s="18">
        <v>44088</v>
      </c>
      <c r="HL29" s="18">
        <v>44096</v>
      </c>
      <c r="HM29">
        <v>1.25</v>
      </c>
      <c r="HN29" t="s">
        <v>119</v>
      </c>
      <c r="HO29" t="s">
        <v>120</v>
      </c>
      <c r="HQ29" s="18">
        <v>44089</v>
      </c>
      <c r="HR29" s="18">
        <v>44109</v>
      </c>
      <c r="HS29" s="18">
        <v>44110</v>
      </c>
      <c r="HT29" s="18">
        <v>44135</v>
      </c>
      <c r="HU29">
        <v>0.9</v>
      </c>
      <c r="HV29" t="s">
        <v>119</v>
      </c>
      <c r="HW29" t="s">
        <v>120</v>
      </c>
      <c r="HY29" s="18">
        <v>44151</v>
      </c>
      <c r="HZ29" s="18">
        <v>44166</v>
      </c>
      <c r="IA29" s="18">
        <v>44167</v>
      </c>
      <c r="IB29" s="18">
        <v>44176</v>
      </c>
      <c r="IC29">
        <v>10</v>
      </c>
      <c r="ID29" t="s">
        <v>121</v>
      </c>
      <c r="IE29" t="s">
        <v>124</v>
      </c>
      <c r="IG29" s="18">
        <v>44041</v>
      </c>
      <c r="IH29" s="18">
        <v>44055</v>
      </c>
      <c r="II29" s="18">
        <v>44056</v>
      </c>
      <c r="IJ29" s="18">
        <v>44084</v>
      </c>
      <c r="IK29">
        <v>0.87</v>
      </c>
      <c r="IL29" t="s">
        <v>119</v>
      </c>
      <c r="IM29" t="s">
        <v>120</v>
      </c>
    </row>
    <row r="30" spans="1:247" x14ac:dyDescent="0.3">
      <c r="A30" s="18">
        <v>44000</v>
      </c>
      <c r="B30" s="18">
        <v>44001</v>
      </c>
      <c r="C30" s="18">
        <v>44004</v>
      </c>
      <c r="D30" s="18">
        <v>44043</v>
      </c>
      <c r="E30">
        <v>1.366242</v>
      </c>
      <c r="F30" t="s">
        <v>119</v>
      </c>
      <c r="G30" t="s">
        <v>123</v>
      </c>
      <c r="I30" s="18">
        <v>44092</v>
      </c>
      <c r="J30" s="18">
        <v>44095</v>
      </c>
      <c r="K30" s="18">
        <v>44096</v>
      </c>
      <c r="L30" s="18">
        <v>44134</v>
      </c>
      <c r="M30">
        <v>0.38823999999999997</v>
      </c>
      <c r="N30" t="s">
        <v>119</v>
      </c>
      <c r="O30" t="s">
        <v>123</v>
      </c>
      <c r="Q30" s="18">
        <v>44092</v>
      </c>
      <c r="R30" s="18">
        <v>44095</v>
      </c>
      <c r="S30" s="18">
        <v>44096</v>
      </c>
      <c r="T30" s="18">
        <v>44098</v>
      </c>
      <c r="U30">
        <v>0.123263</v>
      </c>
      <c r="V30" t="s">
        <v>119</v>
      </c>
      <c r="W30" t="s">
        <v>123</v>
      </c>
      <c r="AG30">
        <v>44042</v>
      </c>
      <c r="AH30">
        <v>44050</v>
      </c>
      <c r="AI30">
        <v>44053</v>
      </c>
      <c r="AJ30">
        <v>44056</v>
      </c>
      <c r="AK30">
        <v>0.20499999999999999</v>
      </c>
      <c r="AL30" t="s">
        <v>119</v>
      </c>
      <c r="AM30" t="s">
        <v>120</v>
      </c>
      <c r="BM30" s="18">
        <v>43999</v>
      </c>
      <c r="BN30" s="18">
        <v>44062</v>
      </c>
      <c r="BO30" s="18">
        <v>44063</v>
      </c>
      <c r="BP30" s="18">
        <v>44084</v>
      </c>
      <c r="BQ30">
        <v>0.51</v>
      </c>
      <c r="BR30" t="s">
        <v>119</v>
      </c>
      <c r="BS30" t="s">
        <v>120</v>
      </c>
      <c r="CC30" s="18">
        <v>44153</v>
      </c>
      <c r="CD30" s="18">
        <v>44168</v>
      </c>
      <c r="CE30" s="18">
        <v>44169</v>
      </c>
      <c r="CF30" s="18">
        <v>44194</v>
      </c>
      <c r="CG30">
        <v>4.0000000000000001E-3</v>
      </c>
      <c r="CH30" t="s">
        <v>119</v>
      </c>
      <c r="CI30" t="s">
        <v>120</v>
      </c>
      <c r="DA30" s="18">
        <v>43965</v>
      </c>
      <c r="DB30" s="18">
        <v>44091</v>
      </c>
      <c r="DC30" s="18">
        <v>44092</v>
      </c>
      <c r="DD30" s="18">
        <v>44119</v>
      </c>
      <c r="DE30">
        <v>0.343669</v>
      </c>
      <c r="DF30" t="s">
        <v>119</v>
      </c>
      <c r="DG30" t="s">
        <v>120</v>
      </c>
      <c r="DI30" s="18">
        <v>44077</v>
      </c>
      <c r="DJ30" s="18">
        <v>44095</v>
      </c>
      <c r="DK30" s="18">
        <v>44096</v>
      </c>
      <c r="DL30" s="18">
        <v>44104</v>
      </c>
      <c r="DM30">
        <v>0.32500000000000001</v>
      </c>
      <c r="DN30" t="s">
        <v>119</v>
      </c>
      <c r="DO30" t="s">
        <v>120</v>
      </c>
      <c r="FU30" s="18">
        <v>43998</v>
      </c>
      <c r="FV30" s="18">
        <v>44026</v>
      </c>
      <c r="FW30" s="18">
        <v>44027</v>
      </c>
      <c r="FX30" s="18">
        <v>44040</v>
      </c>
      <c r="FY30">
        <v>0.24</v>
      </c>
      <c r="FZ30" t="s">
        <v>119</v>
      </c>
      <c r="GA30" t="s">
        <v>120</v>
      </c>
      <c r="HA30" s="18">
        <v>43955</v>
      </c>
      <c r="HB30" s="18">
        <v>43965</v>
      </c>
      <c r="HC30" s="18">
        <v>43966</v>
      </c>
      <c r="HD30" s="18">
        <v>43992</v>
      </c>
      <c r="HE30">
        <v>0.74</v>
      </c>
      <c r="HF30" t="s">
        <v>119</v>
      </c>
      <c r="HG30" t="s">
        <v>120</v>
      </c>
      <c r="HI30" s="18">
        <v>43983</v>
      </c>
      <c r="HJ30" s="18">
        <v>44001</v>
      </c>
      <c r="HK30" s="18">
        <v>44004</v>
      </c>
      <c r="HL30" s="18">
        <v>44012</v>
      </c>
      <c r="HM30">
        <v>1.25</v>
      </c>
      <c r="HN30" t="s">
        <v>119</v>
      </c>
      <c r="HO30" t="s">
        <v>120</v>
      </c>
      <c r="HQ30" s="18">
        <v>43969</v>
      </c>
      <c r="HR30" s="18">
        <v>44014</v>
      </c>
      <c r="HS30" s="18">
        <v>44018</v>
      </c>
      <c r="HT30" s="18">
        <v>44043</v>
      </c>
      <c r="HU30">
        <v>0.9</v>
      </c>
      <c r="HV30" t="s">
        <v>119</v>
      </c>
      <c r="HW30" t="s">
        <v>120</v>
      </c>
      <c r="HY30" s="18">
        <v>44118</v>
      </c>
      <c r="HZ30" s="18">
        <v>44133</v>
      </c>
      <c r="IA30" s="18">
        <v>44134</v>
      </c>
      <c r="IB30" s="18">
        <v>44148</v>
      </c>
      <c r="IC30">
        <v>0.7</v>
      </c>
      <c r="ID30" t="s">
        <v>119</v>
      </c>
      <c r="IE30" t="s">
        <v>120</v>
      </c>
      <c r="IG30" s="18">
        <v>43950</v>
      </c>
      <c r="IH30" s="18">
        <v>43963</v>
      </c>
      <c r="II30" s="18">
        <v>43964</v>
      </c>
      <c r="IJ30" s="18">
        <v>43992</v>
      </c>
      <c r="IK30">
        <v>0.87</v>
      </c>
      <c r="IL30" t="s">
        <v>119</v>
      </c>
      <c r="IM30" t="s">
        <v>120</v>
      </c>
    </row>
    <row r="31" spans="1:247" x14ac:dyDescent="0.3">
      <c r="A31" s="18">
        <v>43909</v>
      </c>
      <c r="B31" s="18">
        <v>43910</v>
      </c>
      <c r="C31" s="18">
        <v>43913</v>
      </c>
      <c r="D31" s="18">
        <v>43951</v>
      </c>
      <c r="E31">
        <v>1.405559</v>
      </c>
      <c r="F31" t="s">
        <v>119</v>
      </c>
      <c r="G31" t="s">
        <v>123</v>
      </c>
      <c r="I31" s="18">
        <v>44001</v>
      </c>
      <c r="J31" s="18">
        <v>44004</v>
      </c>
      <c r="K31" s="18">
        <v>44005</v>
      </c>
      <c r="L31" s="18">
        <v>44043</v>
      </c>
      <c r="M31">
        <v>0.42426000000000003</v>
      </c>
      <c r="N31" t="s">
        <v>119</v>
      </c>
      <c r="O31" t="s">
        <v>123</v>
      </c>
      <c r="Q31" s="18">
        <v>44001</v>
      </c>
      <c r="R31" s="18">
        <v>44004</v>
      </c>
      <c r="S31" s="18">
        <v>44005</v>
      </c>
      <c r="T31" s="18">
        <v>44007</v>
      </c>
      <c r="U31">
        <v>0.14025899999999999</v>
      </c>
      <c r="V31" t="s">
        <v>119</v>
      </c>
      <c r="W31" t="s">
        <v>123</v>
      </c>
      <c r="AG31">
        <v>43951</v>
      </c>
      <c r="AH31">
        <v>43959</v>
      </c>
      <c r="AI31">
        <v>43962</v>
      </c>
      <c r="AJ31">
        <v>43965</v>
      </c>
      <c r="AK31">
        <v>0.20499999999999999</v>
      </c>
      <c r="AL31" t="s">
        <v>119</v>
      </c>
      <c r="AM31" t="s">
        <v>120</v>
      </c>
      <c r="BM31" s="18">
        <v>43899</v>
      </c>
      <c r="BN31" s="18">
        <v>43971</v>
      </c>
      <c r="BO31" s="18">
        <v>43972</v>
      </c>
      <c r="BP31" s="18">
        <v>43993</v>
      </c>
      <c r="BQ31">
        <v>0.51</v>
      </c>
      <c r="BR31" t="s">
        <v>119</v>
      </c>
      <c r="BS31" t="s">
        <v>120</v>
      </c>
      <c r="CC31" s="18">
        <v>44062</v>
      </c>
      <c r="CD31" s="18">
        <v>44075</v>
      </c>
      <c r="CE31" s="18">
        <v>44076</v>
      </c>
      <c r="CF31" s="18">
        <v>44098</v>
      </c>
      <c r="CG31">
        <v>4.0000000000000001E-3</v>
      </c>
      <c r="CH31" t="s">
        <v>119</v>
      </c>
      <c r="CI31" t="s">
        <v>120</v>
      </c>
      <c r="DA31" s="18">
        <v>43873</v>
      </c>
      <c r="DB31" s="18">
        <v>44000</v>
      </c>
      <c r="DC31" s="18">
        <v>44001</v>
      </c>
      <c r="DD31" s="18">
        <v>44028</v>
      </c>
      <c r="DE31">
        <v>0.33485900000000002</v>
      </c>
      <c r="DF31" t="s">
        <v>119</v>
      </c>
      <c r="DG31" t="s">
        <v>120</v>
      </c>
      <c r="DI31" s="18">
        <v>43986</v>
      </c>
      <c r="DJ31" s="18">
        <v>44001</v>
      </c>
      <c r="DK31" s="18">
        <v>44004</v>
      </c>
      <c r="DL31" s="18">
        <v>44012</v>
      </c>
      <c r="DM31">
        <v>0.32500000000000001</v>
      </c>
      <c r="DN31" t="s">
        <v>119</v>
      </c>
      <c r="DO31" t="s">
        <v>120</v>
      </c>
      <c r="FU31" s="18">
        <v>43902</v>
      </c>
      <c r="FV31" s="18">
        <v>43929</v>
      </c>
      <c r="FW31" s="18">
        <v>43930</v>
      </c>
      <c r="FX31" s="18">
        <v>43944</v>
      </c>
      <c r="FY31">
        <v>0.24</v>
      </c>
      <c r="FZ31" t="s">
        <v>119</v>
      </c>
      <c r="GA31" t="s">
        <v>120</v>
      </c>
      <c r="HA31" s="18">
        <v>43815</v>
      </c>
      <c r="HB31" s="18">
        <v>43874</v>
      </c>
      <c r="HC31" s="18">
        <v>43875</v>
      </c>
      <c r="HD31" s="18">
        <v>43900</v>
      </c>
      <c r="HE31">
        <v>0.74</v>
      </c>
      <c r="HF31" t="s">
        <v>119</v>
      </c>
      <c r="HG31" t="s">
        <v>120</v>
      </c>
      <c r="HI31" s="18">
        <v>43878</v>
      </c>
      <c r="HJ31" s="18">
        <v>43903</v>
      </c>
      <c r="HK31" s="18">
        <v>43906</v>
      </c>
      <c r="HL31" s="18">
        <v>43914</v>
      </c>
      <c r="HM31">
        <v>1.08</v>
      </c>
      <c r="HN31" t="s">
        <v>119</v>
      </c>
      <c r="HO31" t="s">
        <v>120</v>
      </c>
      <c r="HQ31" s="18">
        <v>43907</v>
      </c>
      <c r="HR31" s="18">
        <v>43924</v>
      </c>
      <c r="HS31" s="18">
        <v>43927</v>
      </c>
      <c r="HT31" s="18">
        <v>43951</v>
      </c>
      <c r="HU31">
        <v>0.9</v>
      </c>
      <c r="HV31" t="s">
        <v>119</v>
      </c>
      <c r="HW31" t="s">
        <v>120</v>
      </c>
      <c r="HY31" s="18">
        <v>44027</v>
      </c>
      <c r="HZ31" s="18">
        <v>44042</v>
      </c>
      <c r="IA31" s="18">
        <v>44043</v>
      </c>
      <c r="IB31" s="18">
        <v>44057</v>
      </c>
      <c r="IC31">
        <v>0.7</v>
      </c>
      <c r="ID31" t="s">
        <v>119</v>
      </c>
      <c r="IE31" t="s">
        <v>120</v>
      </c>
      <c r="IG31" s="18">
        <v>43859</v>
      </c>
      <c r="IH31" s="18">
        <v>43871</v>
      </c>
      <c r="II31" s="18">
        <v>43872</v>
      </c>
      <c r="IJ31" s="18">
        <v>43900</v>
      </c>
      <c r="IK31">
        <v>0.87</v>
      </c>
      <c r="IL31" t="s">
        <v>119</v>
      </c>
      <c r="IM31" t="s">
        <v>120</v>
      </c>
    </row>
    <row r="32" spans="1:247" x14ac:dyDescent="0.3">
      <c r="A32" s="18">
        <v>43818</v>
      </c>
      <c r="B32" s="18">
        <v>43819</v>
      </c>
      <c r="C32" s="18">
        <v>43822</v>
      </c>
      <c r="D32" s="18">
        <v>43861</v>
      </c>
      <c r="E32">
        <v>1.5699920000000001</v>
      </c>
      <c r="F32" t="s">
        <v>119</v>
      </c>
      <c r="G32" t="s">
        <v>123</v>
      </c>
      <c r="I32" s="18">
        <v>43910</v>
      </c>
      <c r="J32" s="18">
        <v>43913</v>
      </c>
      <c r="K32" s="18">
        <v>43914</v>
      </c>
      <c r="L32" s="18">
        <v>43951</v>
      </c>
      <c r="M32">
        <v>0.36269000000000001</v>
      </c>
      <c r="N32" t="s">
        <v>119</v>
      </c>
      <c r="O32" t="s">
        <v>123</v>
      </c>
      <c r="Q32" s="18">
        <v>43910</v>
      </c>
      <c r="R32" s="18">
        <v>43913</v>
      </c>
      <c r="S32" s="18">
        <v>43914</v>
      </c>
      <c r="T32" s="18">
        <v>43916</v>
      </c>
      <c r="U32">
        <v>0.18574099999999999</v>
      </c>
      <c r="V32" t="s">
        <v>119</v>
      </c>
      <c r="W32" t="s">
        <v>123</v>
      </c>
      <c r="AG32">
        <v>43858</v>
      </c>
      <c r="AH32">
        <v>43868</v>
      </c>
      <c r="AI32">
        <v>43871</v>
      </c>
      <c r="AJ32">
        <v>43874</v>
      </c>
      <c r="AK32">
        <v>0.1925</v>
      </c>
      <c r="AL32" t="s">
        <v>119</v>
      </c>
      <c r="AM32" t="s">
        <v>120</v>
      </c>
      <c r="BM32" s="18">
        <v>43803</v>
      </c>
      <c r="BN32" s="18">
        <v>43880</v>
      </c>
      <c r="BO32" s="18">
        <v>43881</v>
      </c>
      <c r="BP32" s="18">
        <v>43902</v>
      </c>
      <c r="BQ32">
        <v>0.51</v>
      </c>
      <c r="BR32" t="s">
        <v>119</v>
      </c>
      <c r="BS32" t="s">
        <v>120</v>
      </c>
      <c r="CC32" s="18">
        <v>43973</v>
      </c>
      <c r="CD32" s="18">
        <v>43986</v>
      </c>
      <c r="CE32" s="18">
        <v>43987</v>
      </c>
      <c r="CF32" s="18">
        <v>44008</v>
      </c>
      <c r="CG32">
        <v>4.0000000000000001E-3</v>
      </c>
      <c r="CH32" t="s">
        <v>119</v>
      </c>
      <c r="CI32" t="s">
        <v>120</v>
      </c>
      <c r="DA32" s="18">
        <v>43783</v>
      </c>
      <c r="DB32" s="18">
        <v>43909</v>
      </c>
      <c r="DC32" s="18">
        <v>43910</v>
      </c>
      <c r="DD32" s="18">
        <v>43937</v>
      </c>
      <c r="DE32">
        <v>0.32844400000000001</v>
      </c>
      <c r="DF32" t="s">
        <v>119</v>
      </c>
      <c r="DG32" t="s">
        <v>120</v>
      </c>
      <c r="DI32" s="18">
        <v>43902</v>
      </c>
      <c r="DJ32" s="18">
        <v>43910</v>
      </c>
      <c r="DK32" s="18">
        <v>43913</v>
      </c>
      <c r="DL32" s="18">
        <v>43921</v>
      </c>
      <c r="DM32">
        <v>0.32500000000000001</v>
      </c>
      <c r="DN32" t="s">
        <v>119</v>
      </c>
      <c r="DO32" t="s">
        <v>120</v>
      </c>
      <c r="FU32" s="18">
        <v>43811</v>
      </c>
      <c r="FV32" s="18">
        <v>43838</v>
      </c>
      <c r="FW32" s="18">
        <v>43839</v>
      </c>
      <c r="FX32" s="18">
        <v>43853</v>
      </c>
      <c r="FY32">
        <v>0.24</v>
      </c>
      <c r="FZ32" t="s">
        <v>119</v>
      </c>
      <c r="GA32" t="s">
        <v>120</v>
      </c>
      <c r="HA32" s="18">
        <v>43759</v>
      </c>
      <c r="HB32" s="18">
        <v>43783</v>
      </c>
      <c r="HC32" s="18">
        <v>43784</v>
      </c>
      <c r="HD32" s="18">
        <v>43809</v>
      </c>
      <c r="HE32">
        <v>0.64500000000000002</v>
      </c>
      <c r="HF32" t="s">
        <v>119</v>
      </c>
      <c r="HG32" t="s">
        <v>120</v>
      </c>
      <c r="HI32" s="18">
        <v>43777</v>
      </c>
      <c r="HJ32" s="18">
        <v>43805</v>
      </c>
      <c r="HK32" s="18">
        <v>43808</v>
      </c>
      <c r="HL32" s="18">
        <v>43816</v>
      </c>
      <c r="HM32">
        <v>1.08</v>
      </c>
      <c r="HN32" t="s">
        <v>119</v>
      </c>
      <c r="HO32" t="s">
        <v>120</v>
      </c>
      <c r="HQ32" s="18">
        <v>43809</v>
      </c>
      <c r="HR32" s="18">
        <v>43833</v>
      </c>
      <c r="HS32" s="18">
        <v>43836</v>
      </c>
      <c r="HT32" s="18">
        <v>43861</v>
      </c>
      <c r="HU32">
        <v>0.9</v>
      </c>
      <c r="HV32" t="s">
        <v>119</v>
      </c>
      <c r="HW32" t="s">
        <v>120</v>
      </c>
      <c r="HY32" s="18">
        <v>43936</v>
      </c>
      <c r="HZ32" s="18">
        <v>43951</v>
      </c>
      <c r="IA32" s="18">
        <v>43952</v>
      </c>
      <c r="IB32" s="18">
        <v>43966</v>
      </c>
      <c r="IC32">
        <v>0.7</v>
      </c>
      <c r="ID32" t="s">
        <v>119</v>
      </c>
      <c r="IE32" t="s">
        <v>120</v>
      </c>
      <c r="IG32" s="18">
        <v>43768</v>
      </c>
      <c r="IH32" s="18">
        <v>43777</v>
      </c>
      <c r="II32" s="18">
        <v>43781</v>
      </c>
      <c r="IJ32" s="18">
        <v>43809</v>
      </c>
      <c r="IK32">
        <v>0.87</v>
      </c>
      <c r="IL32" t="s">
        <v>119</v>
      </c>
      <c r="IM32" t="s">
        <v>120</v>
      </c>
    </row>
    <row r="33" spans="1:247" x14ac:dyDescent="0.3">
      <c r="A33" s="18">
        <v>43727</v>
      </c>
      <c r="B33" s="18">
        <v>43728</v>
      </c>
      <c r="C33" s="18">
        <v>43731</v>
      </c>
      <c r="D33" s="18">
        <v>43769</v>
      </c>
      <c r="E33">
        <v>1.3836189999999999</v>
      </c>
      <c r="F33" t="s">
        <v>119</v>
      </c>
      <c r="G33" t="s">
        <v>123</v>
      </c>
      <c r="I33" s="18">
        <v>43819</v>
      </c>
      <c r="J33" s="18">
        <v>43822</v>
      </c>
      <c r="K33" s="18">
        <v>43823</v>
      </c>
      <c r="L33" s="18">
        <v>43830</v>
      </c>
      <c r="M33">
        <v>0.45765</v>
      </c>
      <c r="N33" t="s">
        <v>119</v>
      </c>
      <c r="O33" t="s">
        <v>123</v>
      </c>
      <c r="Q33" s="18">
        <v>43818</v>
      </c>
      <c r="R33" s="18">
        <v>43819</v>
      </c>
      <c r="S33" s="18">
        <v>43822</v>
      </c>
      <c r="T33" s="18">
        <v>43825</v>
      </c>
      <c r="U33">
        <v>0.14733299999999999</v>
      </c>
      <c r="V33" t="s">
        <v>119</v>
      </c>
      <c r="W33" t="s">
        <v>123</v>
      </c>
      <c r="AG33">
        <v>43768</v>
      </c>
      <c r="AH33">
        <v>43776</v>
      </c>
      <c r="AI33">
        <v>43780</v>
      </c>
      <c r="AJ33">
        <v>43783</v>
      </c>
      <c r="AK33">
        <v>0.1925</v>
      </c>
      <c r="AL33" t="s">
        <v>119</v>
      </c>
      <c r="AM33" t="s">
        <v>120</v>
      </c>
      <c r="BM33" s="18">
        <v>43726</v>
      </c>
      <c r="BN33" s="18">
        <v>43789</v>
      </c>
      <c r="BO33" s="18">
        <v>43790</v>
      </c>
      <c r="BP33" s="18">
        <v>43811</v>
      </c>
      <c r="BQ33">
        <v>0.51</v>
      </c>
      <c r="BR33" t="s">
        <v>119</v>
      </c>
      <c r="BS33" t="s">
        <v>120</v>
      </c>
      <c r="CC33" s="18">
        <v>43874</v>
      </c>
      <c r="CD33" s="18">
        <v>43888</v>
      </c>
      <c r="CE33" s="18">
        <v>43889</v>
      </c>
      <c r="CF33" s="18">
        <v>43910</v>
      </c>
      <c r="CG33">
        <v>4.0000000000000001E-3</v>
      </c>
      <c r="CH33" t="s">
        <v>119</v>
      </c>
      <c r="CI33" t="s">
        <v>120</v>
      </c>
      <c r="DA33" s="18">
        <v>43693</v>
      </c>
      <c r="DB33" s="18">
        <v>43818</v>
      </c>
      <c r="DC33" s="18">
        <v>43819</v>
      </c>
      <c r="DD33" s="18">
        <v>43846</v>
      </c>
      <c r="DE33">
        <v>0.32934200000000002</v>
      </c>
      <c r="DF33" t="s">
        <v>119</v>
      </c>
      <c r="DG33" t="s">
        <v>120</v>
      </c>
      <c r="DI33" s="18">
        <v>43811</v>
      </c>
      <c r="DJ33" s="18">
        <v>43819</v>
      </c>
      <c r="DK33" s="18">
        <v>43822</v>
      </c>
      <c r="DL33" s="18">
        <v>43830</v>
      </c>
      <c r="DM33">
        <v>0.32500000000000001</v>
      </c>
      <c r="DN33" t="s">
        <v>119</v>
      </c>
      <c r="DO33" t="s">
        <v>120</v>
      </c>
      <c r="FU33" s="18">
        <v>43719</v>
      </c>
      <c r="FV33" s="18">
        <v>43747</v>
      </c>
      <c r="FW33" s="18">
        <v>43748</v>
      </c>
      <c r="FX33" s="18">
        <v>43762</v>
      </c>
      <c r="FY33">
        <v>0.24</v>
      </c>
      <c r="FZ33" t="s">
        <v>119</v>
      </c>
      <c r="GA33" t="s">
        <v>120</v>
      </c>
      <c r="HA33" s="18">
        <v>43635</v>
      </c>
      <c r="HB33" s="18">
        <v>43691</v>
      </c>
      <c r="HC33" s="18">
        <v>43692</v>
      </c>
      <c r="HD33" s="18">
        <v>43718</v>
      </c>
      <c r="HE33">
        <v>0.64500000000000002</v>
      </c>
      <c r="HF33" t="s">
        <v>119</v>
      </c>
      <c r="HG33" t="s">
        <v>120</v>
      </c>
      <c r="HI33" s="18">
        <v>43691</v>
      </c>
      <c r="HJ33" s="18">
        <v>43721</v>
      </c>
      <c r="HK33" s="18">
        <v>43724</v>
      </c>
      <c r="HL33" s="18">
        <v>43732</v>
      </c>
      <c r="HM33">
        <v>1.08</v>
      </c>
      <c r="HN33" t="s">
        <v>119</v>
      </c>
      <c r="HO33" t="s">
        <v>120</v>
      </c>
      <c r="HQ33" s="18">
        <v>43725</v>
      </c>
      <c r="HR33" s="18">
        <v>43741</v>
      </c>
      <c r="HS33" s="18">
        <v>43742</v>
      </c>
      <c r="HT33" s="18">
        <v>43769</v>
      </c>
      <c r="HU33">
        <v>0.9</v>
      </c>
      <c r="HV33" t="s">
        <v>119</v>
      </c>
      <c r="HW33" t="s">
        <v>120</v>
      </c>
      <c r="HY33" s="18">
        <v>43853</v>
      </c>
      <c r="HZ33" s="18">
        <v>43867</v>
      </c>
      <c r="IA33" s="18">
        <v>43868</v>
      </c>
      <c r="IB33" s="18">
        <v>43882</v>
      </c>
      <c r="IC33">
        <v>0.65</v>
      </c>
      <c r="ID33" t="s">
        <v>119</v>
      </c>
      <c r="IE33" t="s">
        <v>120</v>
      </c>
      <c r="IG33" s="18">
        <v>43677</v>
      </c>
      <c r="IH33" s="18">
        <v>43689</v>
      </c>
      <c r="II33" s="18">
        <v>43690</v>
      </c>
      <c r="IJ33" s="18">
        <v>43718</v>
      </c>
      <c r="IK33">
        <v>0.87</v>
      </c>
      <c r="IL33" t="s">
        <v>119</v>
      </c>
      <c r="IM33" t="s">
        <v>120</v>
      </c>
    </row>
    <row r="34" spans="1:247" x14ac:dyDescent="0.3">
      <c r="A34" s="18">
        <v>43636</v>
      </c>
      <c r="B34" s="18">
        <v>43637</v>
      </c>
      <c r="C34" s="18">
        <v>43640</v>
      </c>
      <c r="D34" s="18">
        <v>43677</v>
      </c>
      <c r="E34">
        <v>1.43164</v>
      </c>
      <c r="F34" t="s">
        <v>119</v>
      </c>
      <c r="G34" t="s">
        <v>123</v>
      </c>
      <c r="I34" s="18">
        <v>43728</v>
      </c>
      <c r="J34" s="18">
        <v>43731</v>
      </c>
      <c r="K34" s="18">
        <v>43732</v>
      </c>
      <c r="L34" s="18">
        <v>43769</v>
      </c>
      <c r="M34">
        <v>0.38414999999999999</v>
      </c>
      <c r="N34" t="s">
        <v>119</v>
      </c>
      <c r="O34" t="s">
        <v>123</v>
      </c>
      <c r="Q34" s="18">
        <v>43727</v>
      </c>
      <c r="R34" s="18">
        <v>43728</v>
      </c>
      <c r="S34" s="18">
        <v>43731</v>
      </c>
      <c r="T34" s="18">
        <v>43733</v>
      </c>
      <c r="U34">
        <v>0.12635199999999999</v>
      </c>
      <c r="V34" t="s">
        <v>119</v>
      </c>
      <c r="W34" t="s">
        <v>123</v>
      </c>
      <c r="AG34">
        <v>43676</v>
      </c>
      <c r="AH34">
        <v>43686</v>
      </c>
      <c r="AI34">
        <v>43689</v>
      </c>
      <c r="AJ34">
        <v>43692</v>
      </c>
      <c r="AK34">
        <v>0.1925</v>
      </c>
      <c r="AL34" t="s">
        <v>119</v>
      </c>
      <c r="AM34" t="s">
        <v>120</v>
      </c>
      <c r="BM34" s="18">
        <v>43628</v>
      </c>
      <c r="BN34" s="18">
        <v>43691</v>
      </c>
      <c r="BO34" s="18">
        <v>43692</v>
      </c>
      <c r="BP34" s="18">
        <v>43720</v>
      </c>
      <c r="BQ34">
        <v>0.46</v>
      </c>
      <c r="BR34" t="s">
        <v>119</v>
      </c>
      <c r="BS34" t="s">
        <v>120</v>
      </c>
      <c r="CC34" s="18">
        <v>43783</v>
      </c>
      <c r="CD34" s="18">
        <v>43796</v>
      </c>
      <c r="CE34" s="18">
        <v>43798</v>
      </c>
      <c r="CF34" s="18">
        <v>43819</v>
      </c>
      <c r="CG34">
        <v>4.0000000000000001E-3</v>
      </c>
      <c r="CH34" t="s">
        <v>119</v>
      </c>
      <c r="CI34" t="s">
        <v>120</v>
      </c>
      <c r="DA34" s="18">
        <v>43685</v>
      </c>
      <c r="DB34" s="18">
        <v>43727</v>
      </c>
      <c r="DC34" s="18">
        <v>43728</v>
      </c>
      <c r="DD34" s="18">
        <v>43755</v>
      </c>
      <c r="DE34">
        <v>0.25616080000000002</v>
      </c>
      <c r="DF34" t="s">
        <v>119</v>
      </c>
      <c r="DG34" t="s">
        <v>120</v>
      </c>
      <c r="DI34" s="18">
        <v>43720</v>
      </c>
      <c r="DJ34" s="18">
        <v>43728</v>
      </c>
      <c r="DK34" s="18">
        <v>43731</v>
      </c>
      <c r="DL34" s="18">
        <v>43739</v>
      </c>
      <c r="DM34">
        <v>0.26500000000000001</v>
      </c>
      <c r="DN34" t="s">
        <v>119</v>
      </c>
      <c r="DO34" t="s">
        <v>120</v>
      </c>
      <c r="FU34" s="18">
        <v>43635</v>
      </c>
      <c r="FV34" s="18">
        <v>43662</v>
      </c>
      <c r="FW34" s="18">
        <v>43663</v>
      </c>
      <c r="FX34" s="18">
        <v>43677</v>
      </c>
      <c r="FY34">
        <v>0.24</v>
      </c>
      <c r="FZ34" t="s">
        <v>119</v>
      </c>
      <c r="GA34" t="s">
        <v>120</v>
      </c>
      <c r="HA34" s="18">
        <v>43591</v>
      </c>
      <c r="HB34" s="18">
        <v>43601</v>
      </c>
      <c r="HC34" s="18">
        <v>43602</v>
      </c>
      <c r="HD34" s="18">
        <v>43626</v>
      </c>
      <c r="HE34">
        <v>0.64500000000000002</v>
      </c>
      <c r="HF34" t="s">
        <v>119</v>
      </c>
      <c r="HG34" t="s">
        <v>120</v>
      </c>
      <c r="HI34" s="18">
        <v>43621</v>
      </c>
      <c r="HJ34" s="18">
        <v>43630</v>
      </c>
      <c r="HK34" s="18">
        <v>43633</v>
      </c>
      <c r="HL34" s="18">
        <v>43641</v>
      </c>
      <c r="HM34">
        <v>1.08</v>
      </c>
      <c r="HN34" t="s">
        <v>119</v>
      </c>
      <c r="HO34" t="s">
        <v>120</v>
      </c>
      <c r="HQ34" s="18">
        <v>43606</v>
      </c>
      <c r="HR34" s="18">
        <v>43649</v>
      </c>
      <c r="HS34" s="18">
        <v>43651</v>
      </c>
      <c r="HT34" s="18">
        <v>43677</v>
      </c>
      <c r="HU34">
        <v>0.8</v>
      </c>
      <c r="HV34" t="s">
        <v>119</v>
      </c>
      <c r="HW34" t="s">
        <v>120</v>
      </c>
      <c r="HY34" s="18">
        <v>43756</v>
      </c>
      <c r="HZ34" s="18">
        <v>43769</v>
      </c>
      <c r="IA34" s="18">
        <v>43770</v>
      </c>
      <c r="IB34" s="18">
        <v>43784</v>
      </c>
      <c r="IC34">
        <v>0.65</v>
      </c>
      <c r="ID34" t="s">
        <v>119</v>
      </c>
      <c r="IE34" t="s">
        <v>120</v>
      </c>
      <c r="IG34" s="18">
        <v>43579</v>
      </c>
      <c r="IH34" s="18">
        <v>43595</v>
      </c>
      <c r="II34" s="18">
        <v>43598</v>
      </c>
      <c r="IJ34" s="18">
        <v>43626</v>
      </c>
      <c r="IK34">
        <v>0.87</v>
      </c>
      <c r="IL34" t="s">
        <v>119</v>
      </c>
      <c r="IM34" t="s">
        <v>120</v>
      </c>
    </row>
    <row r="35" spans="1:247" x14ac:dyDescent="0.3">
      <c r="A35" s="18">
        <v>43538</v>
      </c>
      <c r="B35" s="18">
        <v>43539</v>
      </c>
      <c r="C35" s="18">
        <v>43542</v>
      </c>
      <c r="D35" s="18">
        <v>43585</v>
      </c>
      <c r="E35">
        <v>1.2331190000000001</v>
      </c>
      <c r="F35" t="s">
        <v>119</v>
      </c>
      <c r="G35" t="s">
        <v>123</v>
      </c>
      <c r="I35" s="18">
        <v>43637</v>
      </c>
      <c r="J35" s="18">
        <v>43640</v>
      </c>
      <c r="K35" s="18">
        <v>43641</v>
      </c>
      <c r="L35" s="18">
        <v>43677</v>
      </c>
      <c r="M35">
        <v>0.41558</v>
      </c>
      <c r="N35" t="s">
        <v>119</v>
      </c>
      <c r="O35" t="s">
        <v>123</v>
      </c>
      <c r="Q35" s="18">
        <v>43636</v>
      </c>
      <c r="R35" s="18">
        <v>43637</v>
      </c>
      <c r="S35" s="18">
        <v>43640</v>
      </c>
      <c r="T35" s="18">
        <v>43642</v>
      </c>
      <c r="U35">
        <v>0.139154</v>
      </c>
      <c r="V35" t="s">
        <v>119</v>
      </c>
      <c r="W35" t="s">
        <v>123</v>
      </c>
      <c r="AG35">
        <v>43585</v>
      </c>
      <c r="AH35">
        <v>43595</v>
      </c>
      <c r="AI35">
        <v>43598</v>
      </c>
      <c r="AJ35">
        <v>43601</v>
      </c>
      <c r="AK35">
        <v>0.1925</v>
      </c>
      <c r="AL35" t="s">
        <v>119</v>
      </c>
      <c r="AM35" t="s">
        <v>120</v>
      </c>
      <c r="BM35" s="18">
        <v>43535</v>
      </c>
      <c r="BN35" s="18">
        <v>43600</v>
      </c>
      <c r="BO35" s="18">
        <v>43601</v>
      </c>
      <c r="BP35" s="18">
        <v>43629</v>
      </c>
      <c r="BQ35">
        <v>0.46</v>
      </c>
      <c r="BR35" t="s">
        <v>119</v>
      </c>
      <c r="BS35" t="s">
        <v>120</v>
      </c>
      <c r="CC35" s="18">
        <v>43692</v>
      </c>
      <c r="CD35" s="18">
        <v>43705</v>
      </c>
      <c r="CE35" s="18">
        <v>43706</v>
      </c>
      <c r="CF35" s="18">
        <v>43728</v>
      </c>
      <c r="CG35">
        <v>4.0000000000000001E-3</v>
      </c>
      <c r="CH35" t="s">
        <v>119</v>
      </c>
      <c r="CI35" t="s">
        <v>120</v>
      </c>
      <c r="DA35" s="18">
        <v>43628</v>
      </c>
      <c r="DB35" s="18">
        <v>43640</v>
      </c>
      <c r="DC35" s="18">
        <v>43641</v>
      </c>
      <c r="DD35" s="18">
        <v>43664</v>
      </c>
      <c r="DE35">
        <v>1.0180739999999999</v>
      </c>
      <c r="DF35" t="s">
        <v>126</v>
      </c>
      <c r="DG35" t="s">
        <v>120</v>
      </c>
      <c r="DI35" s="18">
        <v>43629</v>
      </c>
      <c r="DJ35" s="18">
        <v>43637</v>
      </c>
      <c r="DK35" s="18">
        <v>43640</v>
      </c>
      <c r="DL35" s="18">
        <v>43648</v>
      </c>
      <c r="DM35">
        <v>0.26500000000000001</v>
      </c>
      <c r="DN35" t="s">
        <v>119</v>
      </c>
      <c r="DO35" t="s">
        <v>120</v>
      </c>
      <c r="FU35" s="18">
        <v>43538</v>
      </c>
      <c r="FV35" s="18">
        <v>43565</v>
      </c>
      <c r="FW35" s="18">
        <v>43566</v>
      </c>
      <c r="FX35" s="18">
        <v>43580</v>
      </c>
      <c r="FY35">
        <v>0.24</v>
      </c>
      <c r="FZ35" t="s">
        <v>119</v>
      </c>
      <c r="GA35" t="s">
        <v>120</v>
      </c>
      <c r="HA35" s="18">
        <v>43305</v>
      </c>
      <c r="HB35" s="18">
        <v>43535</v>
      </c>
      <c r="HC35" s="18" t="s">
        <v>125</v>
      </c>
      <c r="HD35" s="18" t="s">
        <v>125</v>
      </c>
      <c r="HE35">
        <v>4.5121000000000002</v>
      </c>
      <c r="HF35" t="s">
        <v>121</v>
      </c>
      <c r="HG35" t="s">
        <v>131</v>
      </c>
      <c r="HI35" s="18">
        <v>43523</v>
      </c>
      <c r="HJ35" s="18">
        <v>43532</v>
      </c>
      <c r="HK35" s="18">
        <v>43535</v>
      </c>
      <c r="HL35" s="18">
        <v>43543</v>
      </c>
      <c r="HM35">
        <v>0.9</v>
      </c>
      <c r="HN35" t="s">
        <v>119</v>
      </c>
      <c r="HO35" t="s">
        <v>120</v>
      </c>
      <c r="HQ35" s="18">
        <v>43543</v>
      </c>
      <c r="HR35" s="18">
        <v>43559</v>
      </c>
      <c r="HS35" s="18">
        <v>43560</v>
      </c>
      <c r="HT35" s="18">
        <v>43585</v>
      </c>
      <c r="HU35">
        <v>0.8</v>
      </c>
      <c r="HV35" t="s">
        <v>119</v>
      </c>
      <c r="HW35" t="s">
        <v>120</v>
      </c>
      <c r="HY35" s="18">
        <v>43690</v>
      </c>
      <c r="HZ35" s="18">
        <v>43706</v>
      </c>
      <c r="IA35" s="18">
        <v>43707</v>
      </c>
      <c r="IB35" s="18">
        <v>43721</v>
      </c>
      <c r="IC35">
        <v>0.65</v>
      </c>
      <c r="ID35" t="s">
        <v>119</v>
      </c>
      <c r="IE35" t="s">
        <v>120</v>
      </c>
      <c r="IG35" s="18">
        <v>43495</v>
      </c>
      <c r="IH35" s="18">
        <v>43504</v>
      </c>
      <c r="II35" s="18">
        <v>43507</v>
      </c>
      <c r="IJ35" s="18">
        <v>43535</v>
      </c>
      <c r="IK35">
        <v>0.82</v>
      </c>
      <c r="IL35" t="s">
        <v>119</v>
      </c>
      <c r="IM35" t="s">
        <v>120</v>
      </c>
    </row>
    <row r="36" spans="1:247" x14ac:dyDescent="0.3">
      <c r="A36" s="18">
        <v>43454</v>
      </c>
      <c r="B36" s="18">
        <v>43455</v>
      </c>
      <c r="C36" s="18">
        <v>43458</v>
      </c>
      <c r="D36" s="18">
        <v>43496</v>
      </c>
      <c r="E36">
        <v>1.4354290000000001</v>
      </c>
      <c r="F36" t="s">
        <v>119</v>
      </c>
      <c r="G36" t="s">
        <v>123</v>
      </c>
      <c r="I36" s="18">
        <v>43539</v>
      </c>
      <c r="J36" s="18">
        <v>43542</v>
      </c>
      <c r="K36" s="18">
        <v>43543</v>
      </c>
      <c r="L36" s="18">
        <v>43585</v>
      </c>
      <c r="M36">
        <v>0.32421</v>
      </c>
      <c r="N36" t="s">
        <v>119</v>
      </c>
      <c r="O36" t="s">
        <v>123</v>
      </c>
      <c r="Q36" s="18">
        <v>43538</v>
      </c>
      <c r="R36" s="18">
        <v>43539</v>
      </c>
      <c r="S36" s="18">
        <v>43542</v>
      </c>
      <c r="T36" s="18">
        <v>43544</v>
      </c>
      <c r="U36">
        <v>0.116691</v>
      </c>
      <c r="V36" t="s">
        <v>119</v>
      </c>
      <c r="W36" t="s">
        <v>123</v>
      </c>
      <c r="AG36">
        <v>43494</v>
      </c>
      <c r="AH36">
        <v>43504</v>
      </c>
      <c r="AI36">
        <v>43507</v>
      </c>
      <c r="AJ36">
        <v>43510</v>
      </c>
      <c r="AK36">
        <v>0.1825</v>
      </c>
      <c r="AL36" t="s">
        <v>119</v>
      </c>
      <c r="AM36" t="s">
        <v>120</v>
      </c>
      <c r="BM36" s="18">
        <v>43432</v>
      </c>
      <c r="BN36" s="18">
        <v>43516</v>
      </c>
      <c r="BO36" s="18">
        <v>43517</v>
      </c>
      <c r="BP36" s="18">
        <v>43538</v>
      </c>
      <c r="BQ36">
        <v>0.46</v>
      </c>
      <c r="BR36" t="s">
        <v>119</v>
      </c>
      <c r="BS36" t="s">
        <v>120</v>
      </c>
      <c r="CC36" s="18">
        <v>43601</v>
      </c>
      <c r="CD36" s="18">
        <v>43615</v>
      </c>
      <c r="CE36" s="18">
        <v>43616</v>
      </c>
      <c r="CF36" s="18">
        <v>43637</v>
      </c>
      <c r="CG36">
        <v>4.0000000000000001E-3</v>
      </c>
      <c r="CH36" t="s">
        <v>119</v>
      </c>
      <c r="CI36" t="s">
        <v>120</v>
      </c>
      <c r="DA36" s="18">
        <v>43264</v>
      </c>
      <c r="DB36" s="18">
        <v>43276</v>
      </c>
      <c r="DC36" s="18">
        <v>43277</v>
      </c>
      <c r="DD36" s="18">
        <v>43300</v>
      </c>
      <c r="DE36">
        <v>1.0357599</v>
      </c>
      <c r="DF36" t="s">
        <v>126</v>
      </c>
      <c r="DG36" t="s">
        <v>120</v>
      </c>
      <c r="DI36" s="18">
        <v>43538</v>
      </c>
      <c r="DJ36" s="18">
        <v>43544</v>
      </c>
      <c r="DK36" s="18">
        <v>43545</v>
      </c>
      <c r="DL36" s="18">
        <v>43553</v>
      </c>
      <c r="DM36">
        <v>0.26500000000000001</v>
      </c>
      <c r="DN36" t="s">
        <v>119</v>
      </c>
      <c r="DO36" t="s">
        <v>120</v>
      </c>
      <c r="FU36" s="18">
        <v>43451</v>
      </c>
      <c r="FV36" s="18">
        <v>43480</v>
      </c>
      <c r="FW36" s="18">
        <v>43481</v>
      </c>
      <c r="FX36" s="18">
        <v>43495</v>
      </c>
      <c r="FY36">
        <v>0.19</v>
      </c>
      <c r="FZ36" t="s">
        <v>119</v>
      </c>
      <c r="GA36" t="s">
        <v>120</v>
      </c>
      <c r="HA36" s="18">
        <v>43453</v>
      </c>
      <c r="HB36" s="18">
        <v>43510</v>
      </c>
      <c r="HC36" s="18">
        <v>43511</v>
      </c>
      <c r="HD36" s="18">
        <v>43532</v>
      </c>
      <c r="HE36">
        <v>0.64500000000000002</v>
      </c>
      <c r="HF36" t="s">
        <v>119</v>
      </c>
      <c r="HG36" t="s">
        <v>120</v>
      </c>
      <c r="HI36" s="18">
        <v>43413</v>
      </c>
      <c r="HJ36" s="18">
        <v>43434</v>
      </c>
      <c r="HK36" s="18">
        <v>43437</v>
      </c>
      <c r="HL36" s="18">
        <v>43447</v>
      </c>
      <c r="HM36">
        <v>0.9</v>
      </c>
      <c r="HN36" t="s">
        <v>119</v>
      </c>
      <c r="HO36" t="s">
        <v>120</v>
      </c>
      <c r="HQ36" s="18">
        <v>43445</v>
      </c>
      <c r="HR36" s="18">
        <v>43468</v>
      </c>
      <c r="HS36" s="18">
        <v>43469</v>
      </c>
      <c r="HT36" s="18">
        <v>43496</v>
      </c>
      <c r="HU36">
        <v>0.8</v>
      </c>
      <c r="HV36" t="s">
        <v>119</v>
      </c>
      <c r="HW36" t="s">
        <v>120</v>
      </c>
      <c r="HY36" s="18">
        <v>43581</v>
      </c>
      <c r="HZ36" s="18">
        <v>43594</v>
      </c>
      <c r="IA36" s="18">
        <v>43595</v>
      </c>
      <c r="IB36" s="18">
        <v>43609</v>
      </c>
      <c r="IC36">
        <v>0.65</v>
      </c>
      <c r="ID36" t="s">
        <v>119</v>
      </c>
      <c r="IE36" t="s">
        <v>120</v>
      </c>
      <c r="IG36" s="18">
        <v>43404</v>
      </c>
      <c r="IH36" s="18">
        <v>43413</v>
      </c>
      <c r="II36" s="18">
        <v>43417</v>
      </c>
      <c r="IJ36" s="18">
        <v>43444</v>
      </c>
      <c r="IK36">
        <v>0.82</v>
      </c>
      <c r="IL36" t="s">
        <v>119</v>
      </c>
      <c r="IM36" t="s">
        <v>120</v>
      </c>
    </row>
    <row r="37" spans="1:247" x14ac:dyDescent="0.3">
      <c r="A37" s="18">
        <v>43363</v>
      </c>
      <c r="B37" s="18">
        <v>43364</v>
      </c>
      <c r="C37" s="18">
        <v>43367</v>
      </c>
      <c r="D37" s="18">
        <v>43404</v>
      </c>
      <c r="E37">
        <v>1.322611</v>
      </c>
      <c r="F37" t="s">
        <v>119</v>
      </c>
      <c r="G37" t="s">
        <v>123</v>
      </c>
      <c r="I37" s="18">
        <v>43455</v>
      </c>
      <c r="J37" s="18">
        <v>43458</v>
      </c>
      <c r="K37" s="18">
        <v>43460</v>
      </c>
      <c r="L37" s="18">
        <v>43465</v>
      </c>
      <c r="M37">
        <v>0.42060999999999998</v>
      </c>
      <c r="N37" t="s">
        <v>119</v>
      </c>
      <c r="O37" t="s">
        <v>123</v>
      </c>
      <c r="Q37" s="18">
        <v>43454</v>
      </c>
      <c r="R37" s="18">
        <v>43455</v>
      </c>
      <c r="S37" s="18">
        <v>43458</v>
      </c>
      <c r="T37" s="18">
        <v>43461</v>
      </c>
      <c r="U37">
        <v>0.132547</v>
      </c>
      <c r="V37" t="s">
        <v>119</v>
      </c>
      <c r="W37" t="s">
        <v>123</v>
      </c>
      <c r="AG37">
        <v>43405</v>
      </c>
      <c r="AH37">
        <v>43412</v>
      </c>
      <c r="AI37">
        <v>43416</v>
      </c>
      <c r="AJ37">
        <v>43419</v>
      </c>
      <c r="AK37">
        <v>0.1825</v>
      </c>
      <c r="AL37" t="s">
        <v>119</v>
      </c>
      <c r="AM37" t="s">
        <v>120</v>
      </c>
      <c r="BM37" s="18">
        <v>43361</v>
      </c>
      <c r="BN37" s="18">
        <v>43418</v>
      </c>
      <c r="BO37" s="18">
        <v>43419</v>
      </c>
      <c r="BP37" s="18">
        <v>43447</v>
      </c>
      <c r="BQ37">
        <v>0.46</v>
      </c>
      <c r="BR37" t="s">
        <v>119</v>
      </c>
      <c r="BS37" t="s">
        <v>120</v>
      </c>
      <c r="CC37" s="18">
        <v>43510</v>
      </c>
      <c r="CD37" s="18">
        <v>43524</v>
      </c>
      <c r="CE37" s="18">
        <v>43525</v>
      </c>
      <c r="CF37" s="18">
        <v>43546</v>
      </c>
      <c r="CG37">
        <v>4.0000000000000001E-3</v>
      </c>
      <c r="CH37" t="s">
        <v>119</v>
      </c>
      <c r="CI37" t="s">
        <v>120</v>
      </c>
      <c r="DA37" s="18">
        <v>42901</v>
      </c>
      <c r="DB37" s="18">
        <v>42912</v>
      </c>
      <c r="DC37" s="18">
        <v>42914</v>
      </c>
      <c r="DD37" s="18">
        <v>42936</v>
      </c>
      <c r="DE37">
        <v>0.92099200000000003</v>
      </c>
      <c r="DF37" t="s">
        <v>126</v>
      </c>
      <c r="DG37" t="s">
        <v>120</v>
      </c>
      <c r="DI37" s="18">
        <v>43440</v>
      </c>
      <c r="DJ37" s="18">
        <v>43452</v>
      </c>
      <c r="DK37" s="18">
        <v>43453</v>
      </c>
      <c r="DL37" s="18">
        <v>43462</v>
      </c>
      <c r="DM37">
        <v>0.26500000000000001</v>
      </c>
      <c r="DN37" t="s">
        <v>119</v>
      </c>
      <c r="DO37" t="s">
        <v>120</v>
      </c>
      <c r="FU37" s="18">
        <v>43360</v>
      </c>
      <c r="FV37" s="18">
        <v>43388</v>
      </c>
      <c r="FW37" s="18">
        <v>43389</v>
      </c>
      <c r="FX37" s="18">
        <v>43403</v>
      </c>
      <c r="FY37">
        <v>0.19</v>
      </c>
      <c r="FZ37" t="s">
        <v>119</v>
      </c>
      <c r="GA37" t="s">
        <v>120</v>
      </c>
      <c r="HA37" s="18">
        <v>43388</v>
      </c>
      <c r="HB37" s="18">
        <v>43418</v>
      </c>
      <c r="HC37" s="18">
        <v>43419</v>
      </c>
      <c r="HD37" s="18">
        <v>43444</v>
      </c>
      <c r="HE37">
        <v>0.5625</v>
      </c>
      <c r="HF37" t="s">
        <v>119</v>
      </c>
      <c r="HG37" t="s">
        <v>120</v>
      </c>
      <c r="HI37" s="18">
        <v>43320</v>
      </c>
      <c r="HJ37" s="18">
        <v>43349</v>
      </c>
      <c r="HK37" s="18">
        <v>43350</v>
      </c>
      <c r="HL37" s="18">
        <v>43361</v>
      </c>
      <c r="HM37">
        <v>0.9</v>
      </c>
      <c r="HN37" t="s">
        <v>119</v>
      </c>
      <c r="HO37" t="s">
        <v>120</v>
      </c>
      <c r="HQ37" s="18">
        <v>43361</v>
      </c>
      <c r="HR37" s="18">
        <v>43377</v>
      </c>
      <c r="HS37" s="18">
        <v>43378</v>
      </c>
      <c r="HT37" s="18">
        <v>43404</v>
      </c>
      <c r="HU37">
        <v>0.8</v>
      </c>
      <c r="HV37" t="s">
        <v>119</v>
      </c>
      <c r="HW37" t="s">
        <v>120</v>
      </c>
      <c r="HY37" s="18">
        <v>43489</v>
      </c>
      <c r="HZ37" s="18">
        <v>43503</v>
      </c>
      <c r="IA37" s="18">
        <v>43504</v>
      </c>
      <c r="IB37" s="18">
        <v>43518</v>
      </c>
      <c r="IC37">
        <v>0.56999999999999995</v>
      </c>
      <c r="ID37" t="s">
        <v>119</v>
      </c>
      <c r="IE37" t="s">
        <v>120</v>
      </c>
      <c r="IG37" s="18">
        <v>43306</v>
      </c>
      <c r="IH37" s="18">
        <v>43322</v>
      </c>
      <c r="II37" s="18">
        <v>43325</v>
      </c>
      <c r="IJ37" s="18">
        <v>43353</v>
      </c>
      <c r="IK37">
        <v>0.82</v>
      </c>
      <c r="IL37" t="s">
        <v>119</v>
      </c>
      <c r="IM37" t="s">
        <v>120</v>
      </c>
    </row>
    <row r="38" spans="1:247" x14ac:dyDescent="0.3">
      <c r="A38" s="18">
        <v>43265</v>
      </c>
      <c r="B38" s="18">
        <v>43266</v>
      </c>
      <c r="C38" s="18">
        <v>43269</v>
      </c>
      <c r="D38" s="18">
        <v>43312</v>
      </c>
      <c r="E38">
        <v>1.245568</v>
      </c>
      <c r="F38" t="s">
        <v>119</v>
      </c>
      <c r="G38" t="s">
        <v>123</v>
      </c>
      <c r="I38" s="18">
        <v>43364</v>
      </c>
      <c r="J38" s="18">
        <v>43367</v>
      </c>
      <c r="K38" s="18">
        <v>43368</v>
      </c>
      <c r="L38" s="18">
        <v>43404</v>
      </c>
      <c r="M38">
        <v>0.32974999999999999</v>
      </c>
      <c r="N38" t="s">
        <v>119</v>
      </c>
      <c r="O38" t="s">
        <v>123</v>
      </c>
      <c r="Q38" s="18">
        <v>43363</v>
      </c>
      <c r="R38" s="18">
        <v>43364</v>
      </c>
      <c r="S38" s="18">
        <v>43367</v>
      </c>
      <c r="T38" s="18">
        <v>43369</v>
      </c>
      <c r="U38">
        <v>0.12718499999999999</v>
      </c>
      <c r="V38" t="s">
        <v>119</v>
      </c>
      <c r="W38" t="s">
        <v>123</v>
      </c>
      <c r="AG38">
        <v>43312</v>
      </c>
      <c r="AH38">
        <v>43322</v>
      </c>
      <c r="AI38">
        <v>43325</v>
      </c>
      <c r="AJ38">
        <v>43328</v>
      </c>
      <c r="AK38">
        <v>0.1825</v>
      </c>
      <c r="AL38" t="s">
        <v>119</v>
      </c>
      <c r="AM38" t="s">
        <v>120</v>
      </c>
      <c r="BM38" s="18">
        <v>43264</v>
      </c>
      <c r="BN38" s="18">
        <v>43327</v>
      </c>
      <c r="BO38" s="18">
        <v>43328</v>
      </c>
      <c r="BP38" s="18">
        <v>43356</v>
      </c>
      <c r="BQ38">
        <v>0.42</v>
      </c>
      <c r="BR38" t="s">
        <v>119</v>
      </c>
      <c r="BS38" t="s">
        <v>120</v>
      </c>
      <c r="CC38" s="18">
        <v>43419</v>
      </c>
      <c r="CD38" s="18">
        <v>43433</v>
      </c>
      <c r="CE38" s="18">
        <v>43434</v>
      </c>
      <c r="CF38" s="18">
        <v>43455</v>
      </c>
      <c r="CG38">
        <v>4.0000000000000001E-3</v>
      </c>
      <c r="CH38" t="s">
        <v>119</v>
      </c>
      <c r="CI38" t="s">
        <v>120</v>
      </c>
      <c r="DA38" s="18">
        <v>42531</v>
      </c>
      <c r="DB38" s="18">
        <v>42548</v>
      </c>
      <c r="DC38" s="18">
        <v>42550</v>
      </c>
      <c r="DD38" s="18">
        <v>42572</v>
      </c>
      <c r="DE38">
        <v>0.75155000000000005</v>
      </c>
      <c r="DF38" t="s">
        <v>126</v>
      </c>
      <c r="DG38" t="s">
        <v>120</v>
      </c>
      <c r="DI38" s="18">
        <v>43349</v>
      </c>
      <c r="DJ38" s="18">
        <v>43361</v>
      </c>
      <c r="DK38" s="18">
        <v>43362</v>
      </c>
      <c r="DL38" s="18">
        <v>43371</v>
      </c>
      <c r="DM38">
        <v>0.17499999999999999</v>
      </c>
      <c r="DN38" t="s">
        <v>119</v>
      </c>
      <c r="DO38" t="s">
        <v>120</v>
      </c>
      <c r="FU38" s="18">
        <v>43270</v>
      </c>
      <c r="FV38" s="18">
        <v>43297</v>
      </c>
      <c r="FW38" s="18">
        <v>43298</v>
      </c>
      <c r="FX38" s="18">
        <v>43312</v>
      </c>
      <c r="FY38">
        <v>0.19</v>
      </c>
      <c r="FZ38" t="s">
        <v>119</v>
      </c>
      <c r="GA38" t="s">
        <v>120</v>
      </c>
      <c r="HA38" s="18">
        <v>43269</v>
      </c>
      <c r="HB38" s="18">
        <v>43326</v>
      </c>
      <c r="HC38" s="18">
        <v>43327</v>
      </c>
      <c r="HD38" s="18">
        <v>43353</v>
      </c>
      <c r="HE38">
        <v>0.5625</v>
      </c>
      <c r="HF38" t="s">
        <v>119</v>
      </c>
      <c r="HG38" t="s">
        <v>120</v>
      </c>
      <c r="HI38" s="18">
        <v>43257</v>
      </c>
      <c r="HJ38" s="18">
        <v>43266</v>
      </c>
      <c r="HK38" s="18">
        <v>43269</v>
      </c>
      <c r="HL38" s="18">
        <v>43277</v>
      </c>
      <c r="HM38">
        <v>0.9</v>
      </c>
      <c r="HN38" t="s">
        <v>119</v>
      </c>
      <c r="HO38" t="s">
        <v>120</v>
      </c>
      <c r="HQ38" s="18">
        <v>43235</v>
      </c>
      <c r="HR38" s="18">
        <v>43286</v>
      </c>
      <c r="HS38" s="18">
        <v>43287</v>
      </c>
      <c r="HT38" s="18">
        <v>43312</v>
      </c>
      <c r="HU38">
        <v>0.56000000000000005</v>
      </c>
      <c r="HV38" t="s">
        <v>119</v>
      </c>
      <c r="HW38" t="s">
        <v>120</v>
      </c>
      <c r="HY38" s="18">
        <v>43397</v>
      </c>
      <c r="HZ38" s="18">
        <v>43412</v>
      </c>
      <c r="IA38" s="18">
        <v>43413</v>
      </c>
      <c r="IB38" s="18">
        <v>43427</v>
      </c>
      <c r="IC38">
        <v>0.56999999999999995</v>
      </c>
      <c r="ID38" t="s">
        <v>119</v>
      </c>
      <c r="IE38" t="s">
        <v>120</v>
      </c>
      <c r="IG38" s="18">
        <v>43215</v>
      </c>
      <c r="IH38" s="18">
        <v>43231</v>
      </c>
      <c r="II38" s="18">
        <v>43234</v>
      </c>
      <c r="IJ38" s="18">
        <v>43262</v>
      </c>
      <c r="IK38">
        <v>0.82</v>
      </c>
      <c r="IL38" t="s">
        <v>119</v>
      </c>
      <c r="IM38" t="s">
        <v>120</v>
      </c>
    </row>
    <row r="39" spans="1:247" x14ac:dyDescent="0.3">
      <c r="A39" s="18">
        <v>43174</v>
      </c>
      <c r="B39" s="18">
        <v>43175</v>
      </c>
      <c r="C39" s="18">
        <v>43178</v>
      </c>
      <c r="D39" s="18">
        <v>43220</v>
      </c>
      <c r="E39">
        <v>1.0967750000000001</v>
      </c>
      <c r="F39" t="s">
        <v>119</v>
      </c>
      <c r="G39" t="s">
        <v>123</v>
      </c>
      <c r="I39" s="18">
        <v>43266</v>
      </c>
      <c r="J39" s="18">
        <v>43269</v>
      </c>
      <c r="K39" s="18">
        <v>43270</v>
      </c>
      <c r="L39" s="18">
        <v>43312</v>
      </c>
      <c r="M39">
        <v>0.37836999999999998</v>
      </c>
      <c r="N39" t="s">
        <v>119</v>
      </c>
      <c r="O39" t="s">
        <v>123</v>
      </c>
      <c r="Q39" s="18">
        <v>43265</v>
      </c>
      <c r="R39" s="18">
        <v>43266</v>
      </c>
      <c r="S39" s="18">
        <v>43269</v>
      </c>
      <c r="T39" s="18">
        <v>43271</v>
      </c>
      <c r="U39">
        <v>0.127637</v>
      </c>
      <c r="V39" t="s">
        <v>119</v>
      </c>
      <c r="W39" t="s">
        <v>123</v>
      </c>
      <c r="AG39">
        <v>43221</v>
      </c>
      <c r="AH39">
        <v>43231</v>
      </c>
      <c r="AI39">
        <v>43234</v>
      </c>
      <c r="AJ39">
        <v>43237</v>
      </c>
      <c r="AK39">
        <v>0.1825</v>
      </c>
      <c r="AL39" t="s">
        <v>119</v>
      </c>
      <c r="AM39" t="s">
        <v>120</v>
      </c>
      <c r="BM39" s="18">
        <v>43171</v>
      </c>
      <c r="BN39" s="18">
        <v>43236</v>
      </c>
      <c r="BO39" s="18">
        <v>43237</v>
      </c>
      <c r="BP39" s="18">
        <v>43265</v>
      </c>
      <c r="BQ39">
        <v>0.42</v>
      </c>
      <c r="BR39" t="s">
        <v>119</v>
      </c>
      <c r="BS39" t="s">
        <v>120</v>
      </c>
      <c r="CC39" s="18">
        <v>43328</v>
      </c>
      <c r="CD39" s="18">
        <v>43341</v>
      </c>
      <c r="CE39" s="18">
        <v>43342</v>
      </c>
      <c r="CF39" s="18">
        <v>43364</v>
      </c>
      <c r="CG39">
        <v>3.7499999999999999E-3</v>
      </c>
      <c r="CH39" t="s">
        <v>119</v>
      </c>
      <c r="CI39" t="s">
        <v>120</v>
      </c>
      <c r="DA39" s="18">
        <v>42173</v>
      </c>
      <c r="DB39" s="18">
        <v>42184</v>
      </c>
      <c r="DC39" s="18">
        <v>42186</v>
      </c>
      <c r="DD39" s="18">
        <v>42208</v>
      </c>
      <c r="DE39">
        <v>0.57827859999999998</v>
      </c>
      <c r="DF39" t="s">
        <v>126</v>
      </c>
      <c r="DG39" t="s">
        <v>120</v>
      </c>
      <c r="DI39" s="18">
        <v>43258</v>
      </c>
      <c r="DJ39" s="18">
        <v>43270</v>
      </c>
      <c r="DK39" s="18">
        <v>43271</v>
      </c>
      <c r="DL39" s="18">
        <v>43280</v>
      </c>
      <c r="DM39">
        <v>0.17499999999999999</v>
      </c>
      <c r="DN39" t="s">
        <v>119</v>
      </c>
      <c r="DO39" t="s">
        <v>120</v>
      </c>
      <c r="FU39" s="18">
        <v>43178</v>
      </c>
      <c r="FV39" s="18">
        <v>43206</v>
      </c>
      <c r="FW39" s="18">
        <v>43207</v>
      </c>
      <c r="FX39" s="18">
        <v>43221</v>
      </c>
      <c r="FY39">
        <v>0.19</v>
      </c>
      <c r="FZ39" t="s">
        <v>119</v>
      </c>
      <c r="GA39" t="s">
        <v>120</v>
      </c>
      <c r="HA39" s="18">
        <v>43227</v>
      </c>
      <c r="HB39" s="18">
        <v>43236</v>
      </c>
      <c r="HC39" s="18">
        <v>43237</v>
      </c>
      <c r="HD39" s="18">
        <v>43259</v>
      </c>
      <c r="HE39">
        <v>0.5625</v>
      </c>
      <c r="HF39" t="s">
        <v>119</v>
      </c>
      <c r="HG39" t="s">
        <v>120</v>
      </c>
      <c r="HI39" s="18">
        <v>43145</v>
      </c>
      <c r="HJ39" s="18">
        <v>43167</v>
      </c>
      <c r="HK39" s="18">
        <v>43168</v>
      </c>
      <c r="HL39" s="18">
        <v>43179</v>
      </c>
      <c r="HM39">
        <v>0.75</v>
      </c>
      <c r="HN39" t="s">
        <v>119</v>
      </c>
      <c r="HO39" t="s">
        <v>120</v>
      </c>
      <c r="HQ39" s="18">
        <v>43179</v>
      </c>
      <c r="HR39" s="18">
        <v>43195</v>
      </c>
      <c r="HS39" s="18">
        <v>43196</v>
      </c>
      <c r="HT39" s="18">
        <v>43220</v>
      </c>
      <c r="HU39">
        <v>0.56000000000000005</v>
      </c>
      <c r="HV39" t="s">
        <v>119</v>
      </c>
      <c r="HW39" t="s">
        <v>120</v>
      </c>
      <c r="HY39" s="18">
        <v>43329</v>
      </c>
      <c r="HZ39" s="18">
        <v>43342</v>
      </c>
      <c r="IA39" s="18">
        <v>43343</v>
      </c>
      <c r="IB39" s="18">
        <v>43357</v>
      </c>
      <c r="IC39">
        <v>0.56999999999999995</v>
      </c>
      <c r="ID39" t="s">
        <v>119</v>
      </c>
      <c r="IE39" t="s">
        <v>120</v>
      </c>
      <c r="IG39" s="18">
        <v>43131</v>
      </c>
      <c r="IH39" s="18">
        <v>43140</v>
      </c>
      <c r="II39" s="18">
        <v>43143</v>
      </c>
      <c r="IJ39" s="18">
        <v>43168</v>
      </c>
      <c r="IK39">
        <v>0.77</v>
      </c>
      <c r="IL39" t="s">
        <v>119</v>
      </c>
      <c r="IM39" t="s">
        <v>120</v>
      </c>
    </row>
    <row r="40" spans="1:247" x14ac:dyDescent="0.3">
      <c r="A40" s="18">
        <v>43083</v>
      </c>
      <c r="B40" s="18">
        <v>43084</v>
      </c>
      <c r="C40" s="18">
        <v>43087</v>
      </c>
      <c r="D40" s="18">
        <v>43131</v>
      </c>
      <c r="E40">
        <v>1.3513329999999999</v>
      </c>
      <c r="F40" t="s">
        <v>119</v>
      </c>
      <c r="G40" t="s">
        <v>123</v>
      </c>
      <c r="I40" s="18">
        <v>43175</v>
      </c>
      <c r="J40" s="18">
        <v>43178</v>
      </c>
      <c r="K40" s="18">
        <v>43179</v>
      </c>
      <c r="L40" s="18">
        <v>43220</v>
      </c>
      <c r="M40">
        <v>0.27655000000000002</v>
      </c>
      <c r="N40" t="s">
        <v>119</v>
      </c>
      <c r="O40" t="s">
        <v>123</v>
      </c>
      <c r="Q40" s="18">
        <v>43174</v>
      </c>
      <c r="R40" s="18">
        <v>43175</v>
      </c>
      <c r="S40" s="18">
        <v>43178</v>
      </c>
      <c r="T40" s="18">
        <v>43180</v>
      </c>
      <c r="U40">
        <v>0.108874</v>
      </c>
      <c r="V40" t="s">
        <v>119</v>
      </c>
      <c r="W40" t="s">
        <v>123</v>
      </c>
      <c r="AG40">
        <v>43132</v>
      </c>
      <c r="AH40">
        <v>43140</v>
      </c>
      <c r="AI40">
        <v>43143</v>
      </c>
      <c r="AJ40">
        <v>43146</v>
      </c>
      <c r="AK40">
        <v>0.1575</v>
      </c>
      <c r="AL40" t="s">
        <v>119</v>
      </c>
      <c r="AM40" t="s">
        <v>120</v>
      </c>
      <c r="BM40" s="18">
        <v>43068</v>
      </c>
      <c r="BN40" s="18">
        <v>43145</v>
      </c>
      <c r="BO40" s="18">
        <v>43146</v>
      </c>
      <c r="BP40" s="18">
        <v>43167</v>
      </c>
      <c r="BQ40">
        <v>0.42</v>
      </c>
      <c r="BR40" t="s">
        <v>119</v>
      </c>
      <c r="BS40" t="s">
        <v>120</v>
      </c>
      <c r="CC40" s="18">
        <v>43230</v>
      </c>
      <c r="CD40" s="18">
        <v>43243</v>
      </c>
      <c r="CE40" s="18">
        <v>43244</v>
      </c>
      <c r="CF40" s="18">
        <v>43266</v>
      </c>
      <c r="CG40">
        <v>3.7499999999999999E-3</v>
      </c>
      <c r="CH40" t="s">
        <v>119</v>
      </c>
      <c r="CI40" t="s">
        <v>120</v>
      </c>
      <c r="DA40" s="18">
        <v>41817</v>
      </c>
      <c r="DB40" s="18">
        <v>41834</v>
      </c>
      <c r="DC40" s="18">
        <v>41836</v>
      </c>
      <c r="DD40" s="18">
        <v>41857</v>
      </c>
      <c r="DE40">
        <v>0.39956209999999998</v>
      </c>
      <c r="DF40" t="s">
        <v>126</v>
      </c>
      <c r="DG40" t="s">
        <v>120</v>
      </c>
      <c r="DI40" s="18">
        <v>43174</v>
      </c>
      <c r="DJ40" s="18">
        <v>43180</v>
      </c>
      <c r="DK40" s="18">
        <v>43181</v>
      </c>
      <c r="DL40" s="18">
        <v>43188</v>
      </c>
      <c r="DM40">
        <v>0.17499999999999999</v>
      </c>
      <c r="DN40" t="s">
        <v>119</v>
      </c>
      <c r="DO40" t="s">
        <v>120</v>
      </c>
      <c r="FU40" s="18">
        <v>43083</v>
      </c>
      <c r="FV40" s="18">
        <v>43109</v>
      </c>
      <c r="FW40" s="18">
        <v>43110</v>
      </c>
      <c r="FX40" s="18">
        <v>43124</v>
      </c>
      <c r="FY40">
        <v>0.19</v>
      </c>
      <c r="FZ40" t="s">
        <v>119</v>
      </c>
      <c r="GA40" t="s">
        <v>120</v>
      </c>
      <c r="HA40" s="18">
        <v>43080</v>
      </c>
      <c r="HB40" s="18">
        <v>43145</v>
      </c>
      <c r="HC40" s="18">
        <v>43146</v>
      </c>
      <c r="HD40" s="18">
        <v>43168</v>
      </c>
      <c r="HE40">
        <v>0.5625</v>
      </c>
      <c r="HF40" t="s">
        <v>119</v>
      </c>
      <c r="HG40" t="s">
        <v>120</v>
      </c>
      <c r="HI40" s="18">
        <v>43047</v>
      </c>
      <c r="HJ40" s="18">
        <v>43069</v>
      </c>
      <c r="HK40" s="18">
        <v>43070</v>
      </c>
      <c r="HL40" s="18">
        <v>43081</v>
      </c>
      <c r="HM40">
        <v>0.75</v>
      </c>
      <c r="HN40" t="s">
        <v>119</v>
      </c>
      <c r="HO40" t="s">
        <v>120</v>
      </c>
      <c r="HQ40" s="18">
        <v>43081</v>
      </c>
      <c r="HR40" s="18">
        <v>43104</v>
      </c>
      <c r="HS40" s="18">
        <v>43105</v>
      </c>
      <c r="HT40" s="18">
        <v>43131</v>
      </c>
      <c r="HU40">
        <v>0.56000000000000005</v>
      </c>
      <c r="HV40" t="s">
        <v>119</v>
      </c>
      <c r="HW40" t="s">
        <v>120</v>
      </c>
      <c r="HY40" s="18">
        <v>43214</v>
      </c>
      <c r="HZ40" s="18">
        <v>43230</v>
      </c>
      <c r="IA40" s="18">
        <v>43231</v>
      </c>
      <c r="IB40" s="18">
        <v>43245</v>
      </c>
      <c r="IC40">
        <v>0.56999999999999995</v>
      </c>
      <c r="ID40" t="s">
        <v>119</v>
      </c>
      <c r="IE40" t="s">
        <v>120</v>
      </c>
      <c r="IG40" s="18">
        <v>43033</v>
      </c>
      <c r="IH40" s="18">
        <v>43049</v>
      </c>
      <c r="II40" s="18">
        <v>43052</v>
      </c>
      <c r="IJ40" s="18">
        <v>43080</v>
      </c>
      <c r="IK40">
        <v>0.77</v>
      </c>
      <c r="IL40" t="s">
        <v>119</v>
      </c>
      <c r="IM40" t="s">
        <v>120</v>
      </c>
    </row>
    <row r="41" spans="1:247" x14ac:dyDescent="0.3">
      <c r="A41" s="18">
        <v>42992</v>
      </c>
      <c r="B41" s="18">
        <v>42993</v>
      </c>
      <c r="C41" s="18">
        <v>42996</v>
      </c>
      <c r="D41" s="18">
        <v>43039</v>
      </c>
      <c r="E41">
        <v>1.2345740000000001</v>
      </c>
      <c r="F41" t="s">
        <v>119</v>
      </c>
      <c r="G41" t="s">
        <v>123</v>
      </c>
      <c r="I41" s="18">
        <v>43084</v>
      </c>
      <c r="J41" s="18">
        <v>43087</v>
      </c>
      <c r="K41" s="18">
        <v>43088</v>
      </c>
      <c r="L41" s="18">
        <v>43098</v>
      </c>
      <c r="M41">
        <v>0.32940999999999998</v>
      </c>
      <c r="N41" t="s">
        <v>119</v>
      </c>
      <c r="O41" t="s">
        <v>123</v>
      </c>
      <c r="Q41" s="18">
        <v>43083</v>
      </c>
      <c r="R41" s="18">
        <v>43084</v>
      </c>
      <c r="S41" s="18">
        <v>43087</v>
      </c>
      <c r="T41" s="18">
        <v>43095</v>
      </c>
      <c r="U41">
        <v>0.119127</v>
      </c>
      <c r="V41" t="s">
        <v>119</v>
      </c>
      <c r="W41" t="s">
        <v>123</v>
      </c>
      <c r="AG41">
        <v>43041</v>
      </c>
      <c r="AH41">
        <v>43049</v>
      </c>
      <c r="AI41">
        <v>43052</v>
      </c>
      <c r="AJ41">
        <v>43055</v>
      </c>
      <c r="AK41">
        <v>0.1575</v>
      </c>
      <c r="AL41" t="s">
        <v>119</v>
      </c>
      <c r="AM41" t="s">
        <v>120</v>
      </c>
      <c r="BM41" s="18">
        <v>42997</v>
      </c>
      <c r="BN41" s="18">
        <v>43054</v>
      </c>
      <c r="BO41" s="18">
        <v>43055</v>
      </c>
      <c r="BP41" s="18">
        <v>43083</v>
      </c>
      <c r="BQ41">
        <v>0.42</v>
      </c>
      <c r="BR41" t="s">
        <v>119</v>
      </c>
      <c r="BS41" t="s">
        <v>120</v>
      </c>
      <c r="CC41" s="18">
        <v>43139</v>
      </c>
      <c r="CD41" s="18">
        <v>43153</v>
      </c>
      <c r="CE41" s="18">
        <v>43154</v>
      </c>
      <c r="CF41" s="18">
        <v>43175</v>
      </c>
      <c r="CG41">
        <v>3.7499999999999999E-3</v>
      </c>
      <c r="CH41" t="s">
        <v>119</v>
      </c>
      <c r="CI41" t="s">
        <v>120</v>
      </c>
      <c r="DA41" s="18">
        <v>41443</v>
      </c>
      <c r="DB41" s="18">
        <v>41458</v>
      </c>
      <c r="DC41" s="18">
        <v>41463</v>
      </c>
      <c r="DD41" s="18">
        <v>41484</v>
      </c>
      <c r="DE41">
        <v>0.400866</v>
      </c>
      <c r="DF41" t="s">
        <v>126</v>
      </c>
      <c r="DG41" t="s">
        <v>120</v>
      </c>
      <c r="DI41" s="18">
        <v>43075</v>
      </c>
      <c r="DJ41" s="18">
        <v>43087</v>
      </c>
      <c r="DK41" s="18">
        <v>43088</v>
      </c>
      <c r="DL41" s="18">
        <v>43098</v>
      </c>
      <c r="DM41">
        <v>0.17499999999999999</v>
      </c>
      <c r="DN41" t="s">
        <v>119</v>
      </c>
      <c r="DO41" t="s">
        <v>120</v>
      </c>
      <c r="FU41" s="18">
        <v>42992</v>
      </c>
      <c r="FV41" s="18">
        <v>43018</v>
      </c>
      <c r="FW41" s="18">
        <v>43019</v>
      </c>
      <c r="FX41" s="18">
        <v>43033</v>
      </c>
      <c r="FY41">
        <v>0.19</v>
      </c>
      <c r="FZ41" t="s">
        <v>119</v>
      </c>
      <c r="GA41" t="s">
        <v>120</v>
      </c>
      <c r="HA41" s="18">
        <v>43024</v>
      </c>
      <c r="HB41" s="18">
        <v>43053</v>
      </c>
      <c r="HC41" s="18">
        <v>43054</v>
      </c>
      <c r="HD41" s="18">
        <v>43077</v>
      </c>
      <c r="HE41">
        <v>0.52</v>
      </c>
      <c r="HF41" t="s">
        <v>119</v>
      </c>
      <c r="HG41" t="s">
        <v>120</v>
      </c>
      <c r="HI41" s="18">
        <v>42963</v>
      </c>
      <c r="HJ41" s="18">
        <v>42985</v>
      </c>
      <c r="HK41" s="18">
        <v>42986</v>
      </c>
      <c r="HL41" s="18">
        <v>42997</v>
      </c>
      <c r="HM41">
        <v>0.75</v>
      </c>
      <c r="HN41" t="s">
        <v>119</v>
      </c>
      <c r="HO41" t="s">
        <v>120</v>
      </c>
      <c r="HQ41" s="18">
        <v>42997</v>
      </c>
      <c r="HR41" s="18">
        <v>43013</v>
      </c>
      <c r="HS41" s="18">
        <v>43014</v>
      </c>
      <c r="HT41" s="18">
        <v>43039</v>
      </c>
      <c r="HU41">
        <v>0.56000000000000005</v>
      </c>
      <c r="HV41" t="s">
        <v>119</v>
      </c>
      <c r="HW41" t="s">
        <v>120</v>
      </c>
      <c r="HY41" s="18">
        <v>43130</v>
      </c>
      <c r="HZ41" s="18">
        <v>43146</v>
      </c>
      <c r="IA41" s="18">
        <v>43147</v>
      </c>
      <c r="IB41" s="18">
        <v>43161</v>
      </c>
      <c r="IC41">
        <v>0.5</v>
      </c>
      <c r="ID41" t="s">
        <v>119</v>
      </c>
      <c r="IE41" t="s">
        <v>120</v>
      </c>
      <c r="IG41" s="18">
        <v>42942</v>
      </c>
      <c r="IH41" s="18">
        <v>42957</v>
      </c>
      <c r="II41" s="18">
        <v>42961</v>
      </c>
      <c r="IJ41" s="18">
        <v>42989</v>
      </c>
      <c r="IK41">
        <v>0.77</v>
      </c>
      <c r="IL41" t="s">
        <v>119</v>
      </c>
      <c r="IM41" t="s">
        <v>120</v>
      </c>
    </row>
    <row r="42" spans="1:247" x14ac:dyDescent="0.3">
      <c r="A42" s="18">
        <v>42901</v>
      </c>
      <c r="B42" s="18">
        <v>42902</v>
      </c>
      <c r="C42" s="18">
        <v>42906</v>
      </c>
      <c r="D42" s="18">
        <v>42947</v>
      </c>
      <c r="E42">
        <v>1.183108</v>
      </c>
      <c r="F42" t="s">
        <v>119</v>
      </c>
      <c r="G42" t="s">
        <v>123</v>
      </c>
      <c r="I42" s="18">
        <v>42993</v>
      </c>
      <c r="J42" s="18">
        <v>42996</v>
      </c>
      <c r="K42" s="18">
        <v>42997</v>
      </c>
      <c r="L42" s="18">
        <v>43039</v>
      </c>
      <c r="M42">
        <v>0.31938</v>
      </c>
      <c r="N42" t="s">
        <v>119</v>
      </c>
      <c r="O42" t="s">
        <v>123</v>
      </c>
      <c r="Q42" s="18">
        <v>42992</v>
      </c>
      <c r="R42" s="18">
        <v>42993</v>
      </c>
      <c r="S42" s="18">
        <v>42996</v>
      </c>
      <c r="T42" s="18">
        <v>43003</v>
      </c>
      <c r="U42">
        <v>0.104612</v>
      </c>
      <c r="V42" t="s">
        <v>119</v>
      </c>
      <c r="W42" t="s">
        <v>123</v>
      </c>
      <c r="AG42">
        <v>42948</v>
      </c>
      <c r="AH42">
        <v>42957</v>
      </c>
      <c r="AI42">
        <v>42961</v>
      </c>
      <c r="AJ42">
        <v>42964</v>
      </c>
      <c r="AK42">
        <v>0.1575</v>
      </c>
      <c r="AL42" t="s">
        <v>119</v>
      </c>
      <c r="AM42" t="s">
        <v>120</v>
      </c>
      <c r="BM42" s="18">
        <v>42899</v>
      </c>
      <c r="BN42" s="18">
        <v>42962</v>
      </c>
      <c r="BO42" s="18">
        <v>42964</v>
      </c>
      <c r="BP42" s="18">
        <v>42992</v>
      </c>
      <c r="BQ42">
        <v>0.39</v>
      </c>
      <c r="BR42" t="s">
        <v>119</v>
      </c>
      <c r="BS42" t="s">
        <v>120</v>
      </c>
      <c r="CC42" s="18">
        <v>43048</v>
      </c>
      <c r="CD42" s="18">
        <v>43061</v>
      </c>
      <c r="CE42" s="18">
        <v>43063</v>
      </c>
      <c r="CF42" s="18">
        <v>43084</v>
      </c>
      <c r="CG42">
        <v>3.7499999999999999E-3</v>
      </c>
      <c r="CH42" t="s">
        <v>119</v>
      </c>
      <c r="CI42" t="s">
        <v>120</v>
      </c>
      <c r="DA42" s="18">
        <v>41079</v>
      </c>
      <c r="DB42" s="18">
        <v>41095</v>
      </c>
      <c r="DC42" s="18">
        <v>41099</v>
      </c>
      <c r="DD42" s="18">
        <v>41120</v>
      </c>
      <c r="DE42">
        <v>0.3978891</v>
      </c>
      <c r="DF42" t="s">
        <v>126</v>
      </c>
      <c r="DG42" t="s">
        <v>120</v>
      </c>
      <c r="DI42" s="18">
        <v>42976</v>
      </c>
      <c r="DJ42" s="18">
        <v>42996</v>
      </c>
      <c r="DK42" s="18">
        <v>42997</v>
      </c>
      <c r="DL42" s="18">
        <v>43007</v>
      </c>
      <c r="DM42">
        <v>0.10199999999999999</v>
      </c>
      <c r="DN42" t="s">
        <v>119</v>
      </c>
      <c r="DO42" t="s">
        <v>120</v>
      </c>
      <c r="FU42" s="18">
        <v>42907</v>
      </c>
      <c r="FV42" s="18">
        <v>42933</v>
      </c>
      <c r="FW42" s="18">
        <v>42935</v>
      </c>
      <c r="FX42" s="18">
        <v>42949</v>
      </c>
      <c r="FY42">
        <v>0.19</v>
      </c>
      <c r="FZ42" t="s">
        <v>119</v>
      </c>
      <c r="GA42" t="s">
        <v>120</v>
      </c>
      <c r="HA42" s="18">
        <v>42905</v>
      </c>
      <c r="HB42" s="18">
        <v>42958</v>
      </c>
      <c r="HC42" s="18">
        <v>42962</v>
      </c>
      <c r="HD42" s="18">
        <v>42986</v>
      </c>
      <c r="HE42">
        <v>0.52</v>
      </c>
      <c r="HF42" t="s">
        <v>119</v>
      </c>
      <c r="HG42" t="s">
        <v>120</v>
      </c>
      <c r="HI42" s="18">
        <v>42893</v>
      </c>
      <c r="HJ42" s="18">
        <v>42901</v>
      </c>
      <c r="HK42" s="18">
        <v>42905</v>
      </c>
      <c r="HL42" s="18">
        <v>42913</v>
      </c>
      <c r="HM42">
        <v>0.75</v>
      </c>
      <c r="HN42" t="s">
        <v>119</v>
      </c>
      <c r="HO42" t="s">
        <v>120</v>
      </c>
      <c r="HQ42" s="18">
        <v>42871</v>
      </c>
      <c r="HR42" s="18">
        <v>42919</v>
      </c>
      <c r="HS42" s="18">
        <v>42922</v>
      </c>
      <c r="HT42" s="18">
        <v>42947</v>
      </c>
      <c r="HU42">
        <v>0.5</v>
      </c>
      <c r="HV42" t="s">
        <v>119</v>
      </c>
      <c r="HW42" t="s">
        <v>120</v>
      </c>
      <c r="HY42" s="18">
        <v>43038</v>
      </c>
      <c r="HZ42" s="18">
        <v>43055</v>
      </c>
      <c r="IA42" s="18">
        <v>43056</v>
      </c>
      <c r="IB42" s="18">
        <v>43070</v>
      </c>
      <c r="IC42">
        <v>0.5</v>
      </c>
      <c r="ID42" t="s">
        <v>119</v>
      </c>
      <c r="IE42" t="s">
        <v>120</v>
      </c>
      <c r="IG42" s="18">
        <v>42851</v>
      </c>
      <c r="IH42" s="18">
        <v>42865</v>
      </c>
      <c r="II42" s="18">
        <v>42867</v>
      </c>
      <c r="IJ42" s="18">
        <v>42895</v>
      </c>
      <c r="IK42">
        <v>0.77</v>
      </c>
      <c r="IL42" t="s">
        <v>119</v>
      </c>
      <c r="IM42" t="s">
        <v>120</v>
      </c>
    </row>
    <row r="43" spans="1:247" x14ac:dyDescent="0.3">
      <c r="A43" s="18">
        <v>42810</v>
      </c>
      <c r="B43" s="18">
        <v>42811</v>
      </c>
      <c r="C43" s="18">
        <v>42815</v>
      </c>
      <c r="D43" s="18">
        <v>42853</v>
      </c>
      <c r="E43">
        <v>1.033118</v>
      </c>
      <c r="F43" t="s">
        <v>119</v>
      </c>
      <c r="G43" t="s">
        <v>123</v>
      </c>
      <c r="I43" s="18">
        <v>42901</v>
      </c>
      <c r="J43" s="18">
        <v>42902</v>
      </c>
      <c r="K43" s="18">
        <v>42906</v>
      </c>
      <c r="L43" s="18">
        <v>42947</v>
      </c>
      <c r="M43">
        <v>0.37841999999999998</v>
      </c>
      <c r="N43" t="s">
        <v>119</v>
      </c>
      <c r="O43" t="s">
        <v>123</v>
      </c>
      <c r="Q43" s="18">
        <v>42901</v>
      </c>
      <c r="R43" s="18">
        <v>42902</v>
      </c>
      <c r="S43" s="18">
        <v>42906</v>
      </c>
      <c r="T43" s="18">
        <v>42912</v>
      </c>
      <c r="U43">
        <v>0.11169</v>
      </c>
      <c r="V43" t="s">
        <v>119</v>
      </c>
      <c r="W43" t="s">
        <v>123</v>
      </c>
      <c r="AG43">
        <v>42857</v>
      </c>
      <c r="AH43">
        <v>42866</v>
      </c>
      <c r="AI43">
        <v>42870</v>
      </c>
      <c r="AJ43">
        <v>42873</v>
      </c>
      <c r="AK43">
        <v>0.1575</v>
      </c>
      <c r="AL43" t="s">
        <v>119</v>
      </c>
      <c r="AM43" t="s">
        <v>120</v>
      </c>
      <c r="BM43" s="18">
        <v>42808</v>
      </c>
      <c r="BN43" s="18">
        <v>42871</v>
      </c>
      <c r="BO43" s="18">
        <v>42873</v>
      </c>
      <c r="BP43" s="18">
        <v>42894</v>
      </c>
      <c r="BQ43">
        <v>0.39</v>
      </c>
      <c r="BR43" t="s">
        <v>119</v>
      </c>
      <c r="BS43" t="s">
        <v>120</v>
      </c>
      <c r="CC43" s="18">
        <v>42957</v>
      </c>
      <c r="CD43" s="18">
        <v>42969</v>
      </c>
      <c r="CE43" s="18">
        <v>42971</v>
      </c>
      <c r="CF43" s="18">
        <v>42996</v>
      </c>
      <c r="CG43">
        <v>3.5000000000000001E-3</v>
      </c>
      <c r="CH43" t="s">
        <v>119</v>
      </c>
      <c r="CI43" t="s">
        <v>120</v>
      </c>
      <c r="DA43" s="18">
        <v>40710</v>
      </c>
      <c r="DB43" s="18">
        <v>40723</v>
      </c>
      <c r="DC43" s="18">
        <v>40725</v>
      </c>
      <c r="DD43" s="18">
        <v>40749</v>
      </c>
      <c r="DE43">
        <v>0.41461900000000002</v>
      </c>
      <c r="DF43" t="s">
        <v>126</v>
      </c>
      <c r="DG43" t="s">
        <v>120</v>
      </c>
      <c r="DI43" s="18">
        <v>42887</v>
      </c>
      <c r="DJ43" s="18">
        <v>42901</v>
      </c>
      <c r="DK43" s="18">
        <v>42905</v>
      </c>
      <c r="DL43" s="18">
        <v>42916</v>
      </c>
      <c r="DM43">
        <v>0.10199999999999999</v>
      </c>
      <c r="DN43" t="s">
        <v>119</v>
      </c>
      <c r="DO43" t="s">
        <v>120</v>
      </c>
      <c r="FU43" s="18">
        <v>42809</v>
      </c>
      <c r="FV43" s="18">
        <v>42835</v>
      </c>
      <c r="FW43" s="18">
        <v>42837</v>
      </c>
      <c r="FX43" s="18">
        <v>42851</v>
      </c>
      <c r="FY43">
        <v>0.19</v>
      </c>
      <c r="FZ43" t="s">
        <v>119</v>
      </c>
      <c r="GA43" t="s">
        <v>120</v>
      </c>
      <c r="HA43" s="18">
        <v>42856</v>
      </c>
      <c r="HB43" s="18">
        <v>42866</v>
      </c>
      <c r="HC43" s="18">
        <v>42870</v>
      </c>
      <c r="HD43" s="18">
        <v>42895</v>
      </c>
      <c r="HE43">
        <v>0.52</v>
      </c>
      <c r="HF43" t="s">
        <v>119</v>
      </c>
      <c r="HG43" t="s">
        <v>120</v>
      </c>
      <c r="HI43" s="18">
        <v>42775</v>
      </c>
      <c r="HJ43" s="18">
        <v>42802</v>
      </c>
      <c r="HK43" s="18">
        <v>42804</v>
      </c>
      <c r="HL43" s="18">
        <v>42815</v>
      </c>
      <c r="HM43">
        <v>0.625</v>
      </c>
      <c r="HN43" t="s">
        <v>119</v>
      </c>
      <c r="HO43" t="s">
        <v>120</v>
      </c>
      <c r="HQ43" s="18">
        <v>42815</v>
      </c>
      <c r="HR43" s="18">
        <v>42829</v>
      </c>
      <c r="HS43" s="18">
        <v>42831</v>
      </c>
      <c r="HT43" s="18">
        <v>42855</v>
      </c>
      <c r="HU43">
        <v>0.5</v>
      </c>
      <c r="HV43" t="s">
        <v>119</v>
      </c>
      <c r="HW43" t="s">
        <v>120</v>
      </c>
      <c r="HY43" s="18">
        <v>42947</v>
      </c>
      <c r="HZ43" s="18">
        <v>42963</v>
      </c>
      <c r="IA43" s="18">
        <v>42965</v>
      </c>
      <c r="IB43" s="18">
        <v>42979</v>
      </c>
      <c r="IC43">
        <v>0.5</v>
      </c>
      <c r="ID43" t="s">
        <v>119</v>
      </c>
      <c r="IE43" t="s">
        <v>120</v>
      </c>
      <c r="IG43" s="18">
        <v>42760</v>
      </c>
      <c r="IH43" s="18">
        <v>42774</v>
      </c>
      <c r="II43" s="18">
        <v>42776</v>
      </c>
      <c r="IJ43" s="18">
        <v>42804</v>
      </c>
      <c r="IK43">
        <v>0.75</v>
      </c>
      <c r="IL43" t="s">
        <v>119</v>
      </c>
      <c r="IM43" t="s">
        <v>120</v>
      </c>
    </row>
    <row r="44" spans="1:247" x14ac:dyDescent="0.3">
      <c r="A44" s="18">
        <v>42719</v>
      </c>
      <c r="B44" s="18">
        <v>42720</v>
      </c>
      <c r="C44" s="18">
        <v>42724</v>
      </c>
      <c r="D44" s="18">
        <v>42766</v>
      </c>
      <c r="E44">
        <v>1.3289299999999999</v>
      </c>
      <c r="F44" t="s">
        <v>119</v>
      </c>
      <c r="G44" t="s">
        <v>123</v>
      </c>
      <c r="I44" s="18">
        <v>42810</v>
      </c>
      <c r="J44" s="18">
        <v>42811</v>
      </c>
      <c r="K44" s="18">
        <v>42815</v>
      </c>
      <c r="L44" s="18">
        <v>42853</v>
      </c>
      <c r="M44">
        <v>0.27415</v>
      </c>
      <c r="N44" t="s">
        <v>119</v>
      </c>
      <c r="O44" t="s">
        <v>123</v>
      </c>
      <c r="Q44" s="18">
        <v>42810</v>
      </c>
      <c r="R44" s="18">
        <v>42811</v>
      </c>
      <c r="S44" s="18">
        <v>42815</v>
      </c>
      <c r="T44" s="18">
        <v>42821</v>
      </c>
      <c r="U44">
        <v>0.10262</v>
      </c>
      <c r="V44" t="s">
        <v>119</v>
      </c>
      <c r="W44" t="s">
        <v>123</v>
      </c>
      <c r="AG44">
        <v>42766</v>
      </c>
      <c r="AH44">
        <v>42775</v>
      </c>
      <c r="AI44">
        <v>42779</v>
      </c>
      <c r="AJ44">
        <v>42782</v>
      </c>
      <c r="AK44">
        <v>0.14249999999999999</v>
      </c>
      <c r="AL44" t="s">
        <v>119</v>
      </c>
      <c r="AM44" t="s">
        <v>120</v>
      </c>
      <c r="BM44" s="18">
        <v>42704</v>
      </c>
      <c r="BN44" s="18">
        <v>42780</v>
      </c>
      <c r="BO44" s="18">
        <v>42782</v>
      </c>
      <c r="BP44" s="18">
        <v>42803</v>
      </c>
      <c r="BQ44">
        <v>0.39</v>
      </c>
      <c r="BR44" t="s">
        <v>119</v>
      </c>
      <c r="BS44" t="s">
        <v>120</v>
      </c>
      <c r="CC44" s="18">
        <v>42864</v>
      </c>
      <c r="CD44" s="18">
        <v>42874</v>
      </c>
      <c r="CE44" s="18">
        <v>42878</v>
      </c>
      <c r="CF44" s="18">
        <v>42900</v>
      </c>
      <c r="CG44">
        <v>3.5000000000000001E-3</v>
      </c>
      <c r="CH44" t="s">
        <v>119</v>
      </c>
      <c r="CI44" t="s">
        <v>120</v>
      </c>
      <c r="DA44" s="18">
        <v>40350</v>
      </c>
      <c r="DB44" s="18">
        <v>40365</v>
      </c>
      <c r="DC44" s="18">
        <v>40367</v>
      </c>
      <c r="DD44" s="18">
        <v>40386</v>
      </c>
      <c r="DE44">
        <v>0.37274659999999998</v>
      </c>
      <c r="DF44" t="s">
        <v>126</v>
      </c>
      <c r="DG44" t="s">
        <v>120</v>
      </c>
      <c r="DI44" s="18">
        <v>42795</v>
      </c>
      <c r="DJ44" s="18">
        <v>42810</v>
      </c>
      <c r="DK44" s="18">
        <v>42814</v>
      </c>
      <c r="DL44" s="18">
        <v>42825</v>
      </c>
      <c r="DM44">
        <v>0.10199999999999999</v>
      </c>
      <c r="DN44" t="s">
        <v>119</v>
      </c>
      <c r="DO44" t="s">
        <v>120</v>
      </c>
      <c r="FU44" s="18">
        <v>42719</v>
      </c>
      <c r="FV44" s="18">
        <v>42738</v>
      </c>
      <c r="FW44" s="18">
        <v>42740</v>
      </c>
      <c r="FX44" s="18">
        <v>42761</v>
      </c>
      <c r="FY44">
        <v>0.15</v>
      </c>
      <c r="FZ44" t="s">
        <v>119</v>
      </c>
      <c r="GA44" t="s">
        <v>120</v>
      </c>
      <c r="HA44" s="18">
        <v>42716</v>
      </c>
      <c r="HB44" s="18">
        <v>42779</v>
      </c>
      <c r="HC44" s="18">
        <v>42781</v>
      </c>
      <c r="HD44" s="18">
        <v>42804</v>
      </c>
      <c r="HE44">
        <v>0.52</v>
      </c>
      <c r="HF44" t="s">
        <v>119</v>
      </c>
      <c r="HG44" t="s">
        <v>120</v>
      </c>
      <c r="HI44" s="18">
        <v>42683</v>
      </c>
      <c r="HJ44" s="18">
        <v>42704</v>
      </c>
      <c r="HK44" s="18">
        <v>42706</v>
      </c>
      <c r="HL44" s="18">
        <v>42717</v>
      </c>
      <c r="HM44">
        <v>0.625</v>
      </c>
      <c r="HN44" t="s">
        <v>119</v>
      </c>
      <c r="HO44" t="s">
        <v>120</v>
      </c>
      <c r="HQ44" s="18">
        <v>42717</v>
      </c>
      <c r="HR44" s="18">
        <v>42739</v>
      </c>
      <c r="HS44" s="18">
        <v>42741</v>
      </c>
      <c r="HT44" s="18">
        <v>42766</v>
      </c>
      <c r="HU44">
        <v>0.48</v>
      </c>
      <c r="HV44" t="s">
        <v>119</v>
      </c>
      <c r="HW44" t="s">
        <v>120</v>
      </c>
      <c r="HY44" s="18">
        <v>42850</v>
      </c>
      <c r="HZ44" s="18">
        <v>42865</v>
      </c>
      <c r="IA44" s="18">
        <v>42867</v>
      </c>
      <c r="IB44" s="18">
        <v>42881</v>
      </c>
      <c r="IC44">
        <v>0.5</v>
      </c>
      <c r="ID44" t="s">
        <v>119</v>
      </c>
      <c r="IE44" t="s">
        <v>120</v>
      </c>
      <c r="IG44" s="18">
        <v>42669</v>
      </c>
      <c r="IH44" s="18">
        <v>42682</v>
      </c>
      <c r="II44" s="18">
        <v>42684</v>
      </c>
      <c r="IJ44" s="18">
        <v>42713</v>
      </c>
      <c r="IK44">
        <v>0.75</v>
      </c>
      <c r="IL44" t="s">
        <v>119</v>
      </c>
      <c r="IM44" t="s">
        <v>120</v>
      </c>
    </row>
    <row r="45" spans="1:247" x14ac:dyDescent="0.3">
      <c r="A45" s="18">
        <v>42628</v>
      </c>
      <c r="B45" s="18">
        <v>42629</v>
      </c>
      <c r="C45" s="18">
        <v>42633</v>
      </c>
      <c r="D45" s="18">
        <v>42674</v>
      </c>
      <c r="E45">
        <v>1.082068</v>
      </c>
      <c r="F45" t="s">
        <v>119</v>
      </c>
      <c r="G45" t="s">
        <v>123</v>
      </c>
      <c r="I45" s="18">
        <v>42719</v>
      </c>
      <c r="J45" s="18">
        <v>42720</v>
      </c>
      <c r="K45" s="18">
        <v>42724</v>
      </c>
      <c r="L45" s="18">
        <v>42734</v>
      </c>
      <c r="M45">
        <v>0.35493999999999998</v>
      </c>
      <c r="N45" t="s">
        <v>119</v>
      </c>
      <c r="O45" t="s">
        <v>123</v>
      </c>
      <c r="Q45" s="18">
        <v>42719</v>
      </c>
      <c r="R45" s="18">
        <v>42720</v>
      </c>
      <c r="S45" s="18">
        <v>42724</v>
      </c>
      <c r="T45" s="18">
        <v>42731</v>
      </c>
      <c r="U45">
        <v>0.108116</v>
      </c>
      <c r="V45" t="s">
        <v>119</v>
      </c>
      <c r="W45" t="s">
        <v>123</v>
      </c>
      <c r="AG45">
        <v>42668</v>
      </c>
      <c r="AH45">
        <v>42677</v>
      </c>
      <c r="AI45">
        <v>42681</v>
      </c>
      <c r="AJ45">
        <v>42684</v>
      </c>
      <c r="AK45">
        <v>0.14249999999999999</v>
      </c>
      <c r="AL45" t="s">
        <v>119</v>
      </c>
      <c r="AM45" t="s">
        <v>120</v>
      </c>
      <c r="BM45" s="18">
        <v>42633</v>
      </c>
      <c r="BN45" s="18">
        <v>42689</v>
      </c>
      <c r="BO45" s="18">
        <v>42691</v>
      </c>
      <c r="BP45" s="18">
        <v>42712</v>
      </c>
      <c r="BQ45">
        <v>0.39</v>
      </c>
      <c r="BR45" t="s">
        <v>119</v>
      </c>
      <c r="BS45" t="s">
        <v>120</v>
      </c>
      <c r="CC45" s="18">
        <v>42775</v>
      </c>
      <c r="CD45" s="18">
        <v>42788</v>
      </c>
      <c r="CE45" s="18">
        <v>42790</v>
      </c>
      <c r="CF45" s="18">
        <v>42811</v>
      </c>
      <c r="CG45">
        <v>3.5000000000000001E-3</v>
      </c>
      <c r="CH45" t="s">
        <v>119</v>
      </c>
      <c r="CI45" t="s">
        <v>120</v>
      </c>
      <c r="DI45" s="18">
        <v>42712</v>
      </c>
      <c r="DJ45" s="18">
        <v>42718</v>
      </c>
      <c r="DK45" s="18">
        <v>42720</v>
      </c>
      <c r="DL45" s="18">
        <v>42734</v>
      </c>
      <c r="DM45">
        <v>0.10199999999999999</v>
      </c>
      <c r="DN45" t="s">
        <v>119</v>
      </c>
      <c r="DO45" t="s">
        <v>120</v>
      </c>
      <c r="FU45" s="18">
        <v>42628</v>
      </c>
      <c r="FV45" s="18">
        <v>42650</v>
      </c>
      <c r="FW45" s="18">
        <v>42655</v>
      </c>
      <c r="FX45" s="18">
        <v>42669</v>
      </c>
      <c r="FY45">
        <v>0.15</v>
      </c>
      <c r="FZ45" t="s">
        <v>119</v>
      </c>
      <c r="GA45" t="s">
        <v>120</v>
      </c>
      <c r="HA45" s="18">
        <v>42660</v>
      </c>
      <c r="HB45" s="18">
        <v>42684</v>
      </c>
      <c r="HC45" s="18">
        <v>42689</v>
      </c>
      <c r="HD45" s="18">
        <v>42713</v>
      </c>
      <c r="HE45">
        <v>0.51</v>
      </c>
      <c r="HF45" t="s">
        <v>119</v>
      </c>
      <c r="HG45" t="s">
        <v>120</v>
      </c>
      <c r="HI45" s="18">
        <v>42585</v>
      </c>
      <c r="HJ45" s="18">
        <v>42620</v>
      </c>
      <c r="HK45" s="18">
        <v>42622</v>
      </c>
      <c r="HL45" s="18">
        <v>42633</v>
      </c>
      <c r="HM45">
        <v>0.625</v>
      </c>
      <c r="HN45" t="s">
        <v>119</v>
      </c>
      <c r="HO45" t="s">
        <v>120</v>
      </c>
      <c r="HQ45" s="18">
        <v>42633</v>
      </c>
      <c r="HR45" s="18">
        <v>42647</v>
      </c>
      <c r="HS45" s="18">
        <v>42649</v>
      </c>
      <c r="HT45" s="18">
        <v>42674</v>
      </c>
      <c r="HU45">
        <v>0.48</v>
      </c>
      <c r="HV45" t="s">
        <v>119</v>
      </c>
      <c r="HW45" t="s">
        <v>120</v>
      </c>
      <c r="HY45" s="18">
        <v>42850</v>
      </c>
      <c r="HZ45" s="18">
        <v>42863</v>
      </c>
      <c r="IA45" s="18">
        <v>42865</v>
      </c>
      <c r="IB45" s="18">
        <v>42881</v>
      </c>
      <c r="IC45">
        <v>7</v>
      </c>
      <c r="ID45" t="s">
        <v>121</v>
      </c>
      <c r="IE45" t="s">
        <v>124</v>
      </c>
      <c r="IG45" s="18">
        <v>42578</v>
      </c>
      <c r="IH45" s="18">
        <v>42592</v>
      </c>
      <c r="II45" s="18">
        <v>42594</v>
      </c>
      <c r="IJ45" s="18">
        <v>42622</v>
      </c>
      <c r="IK45">
        <v>0.75</v>
      </c>
      <c r="IL45" t="s">
        <v>119</v>
      </c>
      <c r="IM45" t="s">
        <v>120</v>
      </c>
    </row>
    <row r="46" spans="1:247" x14ac:dyDescent="0.3">
      <c r="A46" s="18">
        <v>42537</v>
      </c>
      <c r="B46" s="18">
        <v>42538</v>
      </c>
      <c r="C46" s="18">
        <v>42542</v>
      </c>
      <c r="D46" s="18">
        <v>42580</v>
      </c>
      <c r="E46">
        <v>1.0784419999999999</v>
      </c>
      <c r="F46" t="s">
        <v>119</v>
      </c>
      <c r="G46" t="s">
        <v>123</v>
      </c>
      <c r="I46" s="18">
        <v>42628</v>
      </c>
      <c r="J46" s="18">
        <v>42629</v>
      </c>
      <c r="K46" s="18">
        <v>42633</v>
      </c>
      <c r="L46" s="18">
        <v>42674</v>
      </c>
      <c r="M46">
        <v>0.29387000000000002</v>
      </c>
      <c r="N46" t="s">
        <v>119</v>
      </c>
      <c r="O46" t="s">
        <v>123</v>
      </c>
      <c r="Q46" s="18">
        <v>42628</v>
      </c>
      <c r="R46" s="18">
        <v>42629</v>
      </c>
      <c r="S46" s="18">
        <v>42633</v>
      </c>
      <c r="T46" s="18">
        <v>42639</v>
      </c>
      <c r="U46">
        <v>9.7785999999999998E-2</v>
      </c>
      <c r="V46" t="s">
        <v>119</v>
      </c>
      <c r="W46" t="s">
        <v>123</v>
      </c>
      <c r="AG46">
        <v>42577</v>
      </c>
      <c r="AH46">
        <v>42586</v>
      </c>
      <c r="AI46">
        <v>42590</v>
      </c>
      <c r="AJ46">
        <v>42593</v>
      </c>
      <c r="AK46">
        <v>0.14249999999999999</v>
      </c>
      <c r="AL46" t="s">
        <v>119</v>
      </c>
      <c r="AM46" t="s">
        <v>120</v>
      </c>
      <c r="BM46" s="18">
        <v>42535</v>
      </c>
      <c r="BN46" s="18">
        <v>42598</v>
      </c>
      <c r="BO46" s="18">
        <v>42600</v>
      </c>
      <c r="BP46" s="18">
        <v>42621</v>
      </c>
      <c r="BQ46">
        <v>0.36</v>
      </c>
      <c r="BR46" t="s">
        <v>119</v>
      </c>
      <c r="BS46" t="s">
        <v>120</v>
      </c>
      <c r="CC46" s="18">
        <v>42684</v>
      </c>
      <c r="CD46" s="18">
        <v>42697</v>
      </c>
      <c r="CE46" s="18">
        <v>42702</v>
      </c>
      <c r="CF46" s="18">
        <v>42723</v>
      </c>
      <c r="CG46">
        <v>3.5000000000000001E-3</v>
      </c>
      <c r="CH46" t="s">
        <v>119</v>
      </c>
      <c r="CI46" t="s">
        <v>120</v>
      </c>
      <c r="DI46" s="18">
        <v>42614</v>
      </c>
      <c r="DJ46" s="18">
        <v>42628</v>
      </c>
      <c r="DK46" s="18">
        <v>42632</v>
      </c>
      <c r="DL46" s="18">
        <v>42643</v>
      </c>
      <c r="DM46">
        <v>5.0999999999999997E-2</v>
      </c>
      <c r="DN46" t="s">
        <v>119</v>
      </c>
      <c r="DO46" t="s">
        <v>120</v>
      </c>
      <c r="FU46" s="18">
        <v>42537</v>
      </c>
      <c r="FV46" s="18">
        <v>42552</v>
      </c>
      <c r="FW46" s="18">
        <v>42557</v>
      </c>
      <c r="FX46" s="18">
        <v>42578</v>
      </c>
      <c r="FY46">
        <v>0.15</v>
      </c>
      <c r="FZ46" t="s">
        <v>119</v>
      </c>
      <c r="GA46" t="s">
        <v>120</v>
      </c>
      <c r="HA46" s="18">
        <v>42541</v>
      </c>
      <c r="HB46" s="18">
        <v>42593</v>
      </c>
      <c r="HC46" s="18">
        <v>42597</v>
      </c>
      <c r="HD46" s="18">
        <v>42622</v>
      </c>
      <c r="HE46">
        <v>0.51</v>
      </c>
      <c r="HF46" t="s">
        <v>119</v>
      </c>
      <c r="HG46" t="s">
        <v>120</v>
      </c>
      <c r="HI46" s="18">
        <v>42529</v>
      </c>
      <c r="HJ46" s="18">
        <v>42536</v>
      </c>
      <c r="HK46" s="18">
        <v>42538</v>
      </c>
      <c r="HL46" s="18">
        <v>42549</v>
      </c>
      <c r="HM46">
        <v>0.625</v>
      </c>
      <c r="HN46" t="s">
        <v>119</v>
      </c>
      <c r="HO46" t="s">
        <v>120</v>
      </c>
      <c r="HQ46" s="18">
        <v>42507</v>
      </c>
      <c r="HR46" s="18">
        <v>42552</v>
      </c>
      <c r="HS46" s="18">
        <v>42557</v>
      </c>
      <c r="HT46" s="18">
        <v>42582</v>
      </c>
      <c r="HU46">
        <v>0.48</v>
      </c>
      <c r="HV46" t="s">
        <v>119</v>
      </c>
      <c r="HW46" t="s">
        <v>120</v>
      </c>
      <c r="HY46" s="18">
        <v>42762</v>
      </c>
      <c r="HZ46" s="18">
        <v>42774</v>
      </c>
      <c r="IA46" s="18">
        <v>42776</v>
      </c>
      <c r="IB46" s="18">
        <v>42790</v>
      </c>
      <c r="IC46">
        <v>0.45</v>
      </c>
      <c r="ID46" t="s">
        <v>119</v>
      </c>
      <c r="IE46" t="s">
        <v>120</v>
      </c>
      <c r="IG46" s="18">
        <v>42487</v>
      </c>
      <c r="IH46" s="18">
        <v>42501</v>
      </c>
      <c r="II46" s="18">
        <v>42503</v>
      </c>
      <c r="IJ46" s="18">
        <v>42531</v>
      </c>
      <c r="IK46">
        <v>0.75</v>
      </c>
      <c r="IL46" t="s">
        <v>119</v>
      </c>
      <c r="IM46" t="s">
        <v>120</v>
      </c>
    </row>
    <row r="47" spans="1:247" x14ac:dyDescent="0.3">
      <c r="A47" s="18">
        <v>42446</v>
      </c>
      <c r="B47" s="18">
        <v>42447</v>
      </c>
      <c r="C47" s="18">
        <v>42451</v>
      </c>
      <c r="D47" s="18">
        <v>42489</v>
      </c>
      <c r="E47">
        <v>1.049604</v>
      </c>
      <c r="F47" t="s">
        <v>119</v>
      </c>
      <c r="G47" t="s">
        <v>123</v>
      </c>
      <c r="I47" s="18">
        <v>42537</v>
      </c>
      <c r="J47" s="18">
        <v>42538</v>
      </c>
      <c r="K47" s="18">
        <v>42542</v>
      </c>
      <c r="L47" s="18">
        <v>42580</v>
      </c>
      <c r="M47">
        <v>0.28665000000000002</v>
      </c>
      <c r="N47" t="s">
        <v>119</v>
      </c>
      <c r="O47" t="s">
        <v>123</v>
      </c>
      <c r="Q47" s="18">
        <v>42537</v>
      </c>
      <c r="R47" s="18">
        <v>42538</v>
      </c>
      <c r="S47" s="18">
        <v>42542</v>
      </c>
      <c r="T47" s="18">
        <v>42548</v>
      </c>
      <c r="U47">
        <v>0.105655</v>
      </c>
      <c r="V47" t="s">
        <v>119</v>
      </c>
      <c r="W47" t="s">
        <v>123</v>
      </c>
      <c r="AG47">
        <v>42486</v>
      </c>
      <c r="AH47">
        <v>42495</v>
      </c>
      <c r="AI47">
        <v>42499</v>
      </c>
      <c r="AJ47">
        <v>42502</v>
      </c>
      <c r="AK47">
        <v>0.14249999999999999</v>
      </c>
      <c r="AL47" t="s">
        <v>119</v>
      </c>
      <c r="AM47" t="s">
        <v>120</v>
      </c>
      <c r="BM47" s="18">
        <v>42444</v>
      </c>
      <c r="BN47" s="18">
        <v>42507</v>
      </c>
      <c r="BO47" s="18">
        <v>42509</v>
      </c>
      <c r="BP47" s="18">
        <v>42530</v>
      </c>
      <c r="BQ47">
        <v>0.36</v>
      </c>
      <c r="BR47" t="s">
        <v>119</v>
      </c>
      <c r="BS47" t="s">
        <v>120</v>
      </c>
      <c r="CC47" s="18">
        <v>42593</v>
      </c>
      <c r="CD47" s="18">
        <v>42605</v>
      </c>
      <c r="CE47" s="18">
        <v>42607</v>
      </c>
      <c r="CF47" s="18">
        <v>42629</v>
      </c>
      <c r="CG47">
        <v>2.875E-3</v>
      </c>
      <c r="CH47" t="s">
        <v>119</v>
      </c>
      <c r="CI47" t="s">
        <v>120</v>
      </c>
      <c r="DI47" s="18">
        <v>42523</v>
      </c>
      <c r="DJ47" s="18">
        <v>42536</v>
      </c>
      <c r="DK47" s="18">
        <v>42538</v>
      </c>
      <c r="DL47" s="18">
        <v>42551</v>
      </c>
      <c r="DM47">
        <v>0.05</v>
      </c>
      <c r="DN47" t="s">
        <v>119</v>
      </c>
      <c r="DO47" t="s">
        <v>120</v>
      </c>
      <c r="FU47" s="18">
        <v>42444</v>
      </c>
      <c r="FV47" s="18">
        <v>42472</v>
      </c>
      <c r="FW47" s="18">
        <v>42474</v>
      </c>
      <c r="FX47" s="18">
        <v>42488</v>
      </c>
      <c r="FY47">
        <v>0.15</v>
      </c>
      <c r="FZ47" t="s">
        <v>119</v>
      </c>
      <c r="GA47" t="s">
        <v>120</v>
      </c>
      <c r="HA47" s="18">
        <v>42492</v>
      </c>
      <c r="HB47" s="18">
        <v>42501</v>
      </c>
      <c r="HC47" s="18">
        <v>42503</v>
      </c>
      <c r="HD47" s="18">
        <v>42531</v>
      </c>
      <c r="HE47">
        <v>0.51</v>
      </c>
      <c r="HF47" t="s">
        <v>119</v>
      </c>
      <c r="HG47" t="s">
        <v>120</v>
      </c>
      <c r="HI47" s="18">
        <v>42409</v>
      </c>
      <c r="HJ47" s="18">
        <v>42438</v>
      </c>
      <c r="HK47" s="18">
        <v>42440</v>
      </c>
      <c r="HL47" s="18">
        <v>42451</v>
      </c>
      <c r="HM47">
        <v>0.5</v>
      </c>
      <c r="HN47" t="s">
        <v>119</v>
      </c>
      <c r="HO47" t="s">
        <v>120</v>
      </c>
      <c r="HQ47" s="18">
        <v>42444</v>
      </c>
      <c r="HR47" s="18">
        <v>42464</v>
      </c>
      <c r="HS47" s="18">
        <v>42466</v>
      </c>
      <c r="HT47" s="18">
        <v>42490</v>
      </c>
      <c r="HU47">
        <v>0.44</v>
      </c>
      <c r="HV47" t="s">
        <v>119</v>
      </c>
      <c r="HW47" t="s">
        <v>120</v>
      </c>
      <c r="HY47" s="18">
        <v>42655</v>
      </c>
      <c r="HZ47" s="18">
        <v>42676</v>
      </c>
      <c r="IA47" s="18">
        <v>42678</v>
      </c>
      <c r="IB47" s="18">
        <v>42692</v>
      </c>
      <c r="IC47">
        <v>0.45</v>
      </c>
      <c r="ID47" t="s">
        <v>119</v>
      </c>
      <c r="IE47" t="s">
        <v>120</v>
      </c>
      <c r="IG47" s="18">
        <v>42396</v>
      </c>
      <c r="IH47" s="18">
        <v>42409</v>
      </c>
      <c r="II47" s="18">
        <v>42411</v>
      </c>
      <c r="IJ47" s="18">
        <v>42439</v>
      </c>
      <c r="IK47">
        <v>0.73</v>
      </c>
      <c r="IL47" t="s">
        <v>119</v>
      </c>
      <c r="IM47" t="s">
        <v>120</v>
      </c>
    </row>
    <row r="48" spans="1:247" x14ac:dyDescent="0.3">
      <c r="A48" s="18">
        <v>42355</v>
      </c>
      <c r="B48" s="18">
        <v>42356</v>
      </c>
      <c r="C48" s="18">
        <v>42360</v>
      </c>
      <c r="D48" s="18">
        <v>42398</v>
      </c>
      <c r="E48">
        <v>1.2115499999999999</v>
      </c>
      <c r="F48" t="s">
        <v>119</v>
      </c>
      <c r="G48" t="s">
        <v>123</v>
      </c>
      <c r="I48" s="18">
        <v>42446</v>
      </c>
      <c r="J48" s="18">
        <v>42447</v>
      </c>
      <c r="K48" s="18">
        <v>42451</v>
      </c>
      <c r="L48" s="18">
        <v>42489</v>
      </c>
      <c r="M48">
        <v>0.31780000000000003</v>
      </c>
      <c r="N48" t="s">
        <v>119</v>
      </c>
      <c r="O48" t="s">
        <v>123</v>
      </c>
      <c r="Q48" s="18">
        <v>42446</v>
      </c>
      <c r="R48" s="18">
        <v>42447</v>
      </c>
      <c r="S48" s="18">
        <v>42451</v>
      </c>
      <c r="T48" s="18">
        <v>42458</v>
      </c>
      <c r="U48">
        <v>0.110113</v>
      </c>
      <c r="V48" t="s">
        <v>119</v>
      </c>
      <c r="W48" t="s">
        <v>123</v>
      </c>
      <c r="AG48">
        <v>42395</v>
      </c>
      <c r="AH48">
        <v>42404</v>
      </c>
      <c r="AI48">
        <v>42408</v>
      </c>
      <c r="AJ48">
        <v>42411</v>
      </c>
      <c r="AK48">
        <v>0.13</v>
      </c>
      <c r="AL48" t="s">
        <v>119</v>
      </c>
      <c r="AM48" t="s">
        <v>120</v>
      </c>
      <c r="BM48" s="18">
        <v>42340</v>
      </c>
      <c r="BN48" s="18">
        <v>42416</v>
      </c>
      <c r="BO48" s="18">
        <v>42418</v>
      </c>
      <c r="BP48" s="18">
        <v>42439</v>
      </c>
      <c r="BQ48">
        <v>0.36</v>
      </c>
      <c r="BR48" t="s">
        <v>119</v>
      </c>
      <c r="BS48" t="s">
        <v>120</v>
      </c>
      <c r="CC48" s="18">
        <v>42502</v>
      </c>
      <c r="CD48" s="18">
        <v>42514</v>
      </c>
      <c r="CE48" s="18">
        <v>42516</v>
      </c>
      <c r="CF48" s="18">
        <v>42541</v>
      </c>
      <c r="CG48">
        <v>2.875E-3</v>
      </c>
      <c r="CH48" t="s">
        <v>119</v>
      </c>
      <c r="CI48" t="s">
        <v>120</v>
      </c>
      <c r="DI48" s="18">
        <v>42432</v>
      </c>
      <c r="DJ48" s="18">
        <v>42445</v>
      </c>
      <c r="DK48" s="18">
        <v>42447</v>
      </c>
      <c r="DL48" s="18">
        <v>42460</v>
      </c>
      <c r="DM48">
        <v>4.9000000000000002E-2</v>
      </c>
      <c r="DN48" t="s">
        <v>119</v>
      </c>
      <c r="DO48" t="s">
        <v>120</v>
      </c>
      <c r="FU48" s="18">
        <v>42354</v>
      </c>
      <c r="FV48" s="18">
        <v>42373</v>
      </c>
      <c r="FW48" s="18">
        <v>42375</v>
      </c>
      <c r="FX48" s="18">
        <v>42396</v>
      </c>
      <c r="FY48">
        <v>0.15</v>
      </c>
      <c r="FZ48" t="s">
        <v>119</v>
      </c>
      <c r="GA48" t="s">
        <v>120</v>
      </c>
      <c r="HA48" s="18">
        <v>42346</v>
      </c>
      <c r="HB48" s="18">
        <v>42410</v>
      </c>
      <c r="HC48" s="18">
        <v>42412</v>
      </c>
      <c r="HD48" s="18">
        <v>42439</v>
      </c>
      <c r="HE48">
        <v>0.51</v>
      </c>
      <c r="HF48" t="s">
        <v>119</v>
      </c>
      <c r="HG48" t="s">
        <v>120</v>
      </c>
      <c r="HI48" s="18">
        <v>42314</v>
      </c>
      <c r="HJ48" s="18">
        <v>42340</v>
      </c>
      <c r="HK48" s="18">
        <v>42342</v>
      </c>
      <c r="HL48" s="18">
        <v>42353</v>
      </c>
      <c r="HM48">
        <v>0.5</v>
      </c>
      <c r="HN48" t="s">
        <v>119</v>
      </c>
      <c r="HO48" t="s">
        <v>120</v>
      </c>
      <c r="HQ48" s="18">
        <v>42346</v>
      </c>
      <c r="HR48" s="18">
        <v>42373</v>
      </c>
      <c r="HS48" s="18">
        <v>42375</v>
      </c>
      <c r="HT48" s="18">
        <v>42400</v>
      </c>
      <c r="HU48">
        <v>0.44</v>
      </c>
      <c r="HV48" t="s">
        <v>119</v>
      </c>
      <c r="HW48" t="s">
        <v>120</v>
      </c>
      <c r="HY48" s="18">
        <v>42576</v>
      </c>
      <c r="HZ48" s="18">
        <v>42592</v>
      </c>
      <c r="IA48" s="18">
        <v>42594</v>
      </c>
      <c r="IB48" s="18">
        <v>42608</v>
      </c>
      <c r="IC48">
        <v>0.45</v>
      </c>
      <c r="ID48" t="s">
        <v>119</v>
      </c>
      <c r="IE48" t="s">
        <v>120</v>
      </c>
      <c r="IG48" s="18">
        <v>42305</v>
      </c>
      <c r="IH48" s="18">
        <v>42317</v>
      </c>
      <c r="II48" s="18">
        <v>42320</v>
      </c>
      <c r="IJ48" s="18">
        <v>42348</v>
      </c>
      <c r="IK48">
        <v>0.73</v>
      </c>
      <c r="IL48" t="s">
        <v>119</v>
      </c>
      <c r="IM48" t="s">
        <v>120</v>
      </c>
    </row>
    <row r="49" spans="1:247" x14ac:dyDescent="0.3">
      <c r="A49" s="18">
        <v>42264</v>
      </c>
      <c r="B49" s="18">
        <v>42265</v>
      </c>
      <c r="C49" s="18">
        <v>42269</v>
      </c>
      <c r="D49" s="18">
        <v>42307</v>
      </c>
      <c r="E49">
        <v>1.0334300000000001</v>
      </c>
      <c r="F49" t="s">
        <v>119</v>
      </c>
      <c r="G49" t="s">
        <v>123</v>
      </c>
      <c r="I49" s="18">
        <v>42355</v>
      </c>
      <c r="J49" s="18">
        <v>42356</v>
      </c>
      <c r="K49" s="18">
        <v>42360</v>
      </c>
      <c r="L49" s="18">
        <v>42369</v>
      </c>
      <c r="M49">
        <v>0.34233000000000002</v>
      </c>
      <c r="N49" t="s">
        <v>119</v>
      </c>
      <c r="O49" t="s">
        <v>123</v>
      </c>
      <c r="Q49" s="18">
        <v>42355</v>
      </c>
      <c r="R49" s="18">
        <v>42356</v>
      </c>
      <c r="S49" s="18">
        <v>42360</v>
      </c>
      <c r="T49" s="18">
        <v>42367</v>
      </c>
      <c r="U49">
        <v>0.10795299999999999</v>
      </c>
      <c r="V49" t="s">
        <v>119</v>
      </c>
      <c r="W49" t="s">
        <v>123</v>
      </c>
      <c r="AG49">
        <v>42304</v>
      </c>
      <c r="AH49">
        <v>42313</v>
      </c>
      <c r="AI49">
        <v>42317</v>
      </c>
      <c r="AJ49">
        <v>42320</v>
      </c>
      <c r="AK49">
        <v>0.13</v>
      </c>
      <c r="AL49" t="s">
        <v>119</v>
      </c>
      <c r="AM49" t="s">
        <v>120</v>
      </c>
      <c r="BM49" s="18">
        <v>42262</v>
      </c>
      <c r="BN49" s="18">
        <v>42325</v>
      </c>
      <c r="BO49" s="18">
        <v>42327</v>
      </c>
      <c r="BP49" s="18">
        <v>42348</v>
      </c>
      <c r="BQ49">
        <v>0.36</v>
      </c>
      <c r="BR49" t="s">
        <v>119</v>
      </c>
      <c r="BS49" t="s">
        <v>120</v>
      </c>
      <c r="CC49" s="18">
        <v>42417</v>
      </c>
      <c r="CD49" s="18">
        <v>42429</v>
      </c>
      <c r="CE49" s="18">
        <v>42431</v>
      </c>
      <c r="CF49" s="18">
        <v>42452</v>
      </c>
      <c r="CG49">
        <v>2.875E-3</v>
      </c>
      <c r="CH49" t="s">
        <v>119</v>
      </c>
      <c r="CI49" t="s">
        <v>120</v>
      </c>
      <c r="DI49" s="18">
        <v>42346</v>
      </c>
      <c r="DJ49" s="18">
        <v>42354</v>
      </c>
      <c r="DK49" s="18">
        <v>42356</v>
      </c>
      <c r="DL49" s="18">
        <v>42368</v>
      </c>
      <c r="DM49">
        <v>4.3999999999999997E-2</v>
      </c>
      <c r="DN49" t="s">
        <v>119</v>
      </c>
      <c r="DO49" t="s">
        <v>120</v>
      </c>
      <c r="FU49" s="18">
        <v>42263</v>
      </c>
      <c r="FV49" s="18">
        <v>42286</v>
      </c>
      <c r="FW49" s="18">
        <v>42291</v>
      </c>
      <c r="FX49" s="18">
        <v>42305</v>
      </c>
      <c r="FY49">
        <v>0.15</v>
      </c>
      <c r="FZ49" t="s">
        <v>119</v>
      </c>
      <c r="GA49" t="s">
        <v>120</v>
      </c>
      <c r="HA49" s="18">
        <v>42296</v>
      </c>
      <c r="HB49" s="18">
        <v>42318</v>
      </c>
      <c r="HC49" s="18">
        <v>42321</v>
      </c>
      <c r="HD49" s="18">
        <v>42348</v>
      </c>
      <c r="HE49">
        <v>0.5</v>
      </c>
      <c r="HF49" t="s">
        <v>119</v>
      </c>
      <c r="HG49" t="s">
        <v>120</v>
      </c>
      <c r="HI49" s="18">
        <v>42228</v>
      </c>
      <c r="HJ49" s="18">
        <v>42256</v>
      </c>
      <c r="HK49" s="18">
        <v>42258</v>
      </c>
      <c r="HL49" s="18">
        <v>42269</v>
      </c>
      <c r="HM49">
        <v>0.5</v>
      </c>
      <c r="HN49" t="s">
        <v>119</v>
      </c>
      <c r="HO49" t="s">
        <v>120</v>
      </c>
      <c r="HQ49" s="18">
        <v>42262</v>
      </c>
      <c r="HR49" s="18">
        <v>42279</v>
      </c>
      <c r="HS49" s="18">
        <v>42283</v>
      </c>
      <c r="HT49" s="18">
        <v>42308</v>
      </c>
      <c r="HU49">
        <v>0.44</v>
      </c>
      <c r="HV49" t="s">
        <v>119</v>
      </c>
      <c r="HW49" t="s">
        <v>120</v>
      </c>
      <c r="HY49" s="18">
        <v>42474</v>
      </c>
      <c r="HZ49" s="18">
        <v>42487</v>
      </c>
      <c r="IA49" s="18">
        <v>42489</v>
      </c>
      <c r="IB49" s="18">
        <v>42503</v>
      </c>
      <c r="IC49">
        <v>0.45</v>
      </c>
      <c r="ID49" t="s">
        <v>119</v>
      </c>
      <c r="IE49" t="s">
        <v>120</v>
      </c>
      <c r="IG49" s="18">
        <v>42214</v>
      </c>
      <c r="IH49" s="18">
        <v>42227</v>
      </c>
      <c r="II49" s="18">
        <v>42229</v>
      </c>
      <c r="IJ49" s="18">
        <v>42257</v>
      </c>
      <c r="IK49">
        <v>0.73</v>
      </c>
      <c r="IL49" t="s">
        <v>119</v>
      </c>
      <c r="IM49" t="s">
        <v>120</v>
      </c>
    </row>
    <row r="50" spans="1:247" x14ac:dyDescent="0.3">
      <c r="A50" s="18">
        <v>42173</v>
      </c>
      <c r="B50" s="18">
        <v>42174</v>
      </c>
      <c r="C50" s="18">
        <v>42178</v>
      </c>
      <c r="D50" s="18">
        <v>42216</v>
      </c>
      <c r="E50">
        <v>1.03007</v>
      </c>
      <c r="F50" t="s">
        <v>119</v>
      </c>
      <c r="G50" t="s">
        <v>123</v>
      </c>
      <c r="I50" s="18">
        <v>42264</v>
      </c>
      <c r="J50" s="18">
        <v>42265</v>
      </c>
      <c r="K50" s="18">
        <v>42269</v>
      </c>
      <c r="L50" s="18">
        <v>42307</v>
      </c>
      <c r="M50">
        <v>0.26001999999999997</v>
      </c>
      <c r="N50" t="s">
        <v>119</v>
      </c>
      <c r="O50" t="s">
        <v>123</v>
      </c>
      <c r="Q50" s="18">
        <v>42264</v>
      </c>
      <c r="R50" s="18">
        <v>42265</v>
      </c>
      <c r="S50" s="18">
        <v>42269</v>
      </c>
      <c r="T50" s="18">
        <v>42275</v>
      </c>
      <c r="U50">
        <v>9.1715000000000005E-2</v>
      </c>
      <c r="V50" t="s">
        <v>119</v>
      </c>
      <c r="W50" t="s">
        <v>123</v>
      </c>
      <c r="AG50">
        <v>42206</v>
      </c>
      <c r="AH50">
        <v>42222</v>
      </c>
      <c r="AI50">
        <v>42226</v>
      </c>
      <c r="AJ50">
        <v>42229</v>
      </c>
      <c r="AK50">
        <v>0.13</v>
      </c>
      <c r="AL50" t="s">
        <v>119</v>
      </c>
      <c r="AM50" t="s">
        <v>120</v>
      </c>
      <c r="BM50" s="18">
        <v>42164</v>
      </c>
      <c r="BN50" s="18">
        <v>42234</v>
      </c>
      <c r="BO50" s="18">
        <v>42236</v>
      </c>
      <c r="BP50" s="18">
        <v>42257</v>
      </c>
      <c r="BQ50">
        <v>0.31</v>
      </c>
      <c r="BR50" t="s">
        <v>119</v>
      </c>
      <c r="BS50" t="s">
        <v>120</v>
      </c>
      <c r="CC50" s="18">
        <v>42313</v>
      </c>
      <c r="CD50" s="18">
        <v>42326</v>
      </c>
      <c r="CE50" s="18">
        <v>42328</v>
      </c>
      <c r="CF50" s="18">
        <v>42352</v>
      </c>
      <c r="CG50">
        <v>2.875E-3</v>
      </c>
      <c r="CH50" t="s">
        <v>119</v>
      </c>
      <c r="CI50" t="s">
        <v>120</v>
      </c>
      <c r="DI50" s="18">
        <v>42250</v>
      </c>
      <c r="DJ50" s="18">
        <v>42263</v>
      </c>
      <c r="DK50" s="18">
        <v>42265</v>
      </c>
      <c r="DL50" s="18">
        <v>42277</v>
      </c>
      <c r="DM50">
        <v>4.2000000000000003E-2</v>
      </c>
      <c r="DN50" t="s">
        <v>119</v>
      </c>
      <c r="DO50" t="s">
        <v>120</v>
      </c>
      <c r="FU50" s="18">
        <v>42172</v>
      </c>
      <c r="FV50" s="18">
        <v>42191</v>
      </c>
      <c r="FW50" s="18">
        <v>42193</v>
      </c>
      <c r="FX50" s="18">
        <v>42214</v>
      </c>
      <c r="FY50">
        <v>0.15</v>
      </c>
      <c r="FZ50" t="s">
        <v>119</v>
      </c>
      <c r="GA50" t="s">
        <v>120</v>
      </c>
      <c r="HA50" s="18">
        <v>42170</v>
      </c>
      <c r="HB50" s="18">
        <v>42228</v>
      </c>
      <c r="HC50" s="18">
        <v>42230</v>
      </c>
      <c r="HD50" s="18">
        <v>42257</v>
      </c>
      <c r="HE50">
        <v>0.5</v>
      </c>
      <c r="HF50" t="s">
        <v>119</v>
      </c>
      <c r="HG50" t="s">
        <v>120</v>
      </c>
      <c r="HI50" s="18">
        <v>42158</v>
      </c>
      <c r="HJ50" s="18">
        <v>42166</v>
      </c>
      <c r="HK50" s="18">
        <v>42170</v>
      </c>
      <c r="HL50" s="18">
        <v>42179</v>
      </c>
      <c r="HM50">
        <v>0.5</v>
      </c>
      <c r="HN50" t="s">
        <v>119</v>
      </c>
      <c r="HO50" t="s">
        <v>120</v>
      </c>
      <c r="HQ50" s="18">
        <v>42143</v>
      </c>
      <c r="HR50" s="18">
        <v>42186</v>
      </c>
      <c r="HS50" s="18">
        <v>42191</v>
      </c>
      <c r="HT50" s="18">
        <v>42216</v>
      </c>
      <c r="HU50">
        <v>0.44</v>
      </c>
      <c r="HV50" t="s">
        <v>119</v>
      </c>
      <c r="HW50" t="s">
        <v>120</v>
      </c>
      <c r="HY50" s="18">
        <v>42398</v>
      </c>
      <c r="HZ50" s="18">
        <v>42410</v>
      </c>
      <c r="IA50" s="18">
        <v>42412</v>
      </c>
      <c r="IB50" s="18">
        <v>42426</v>
      </c>
      <c r="IC50">
        <v>0.4</v>
      </c>
      <c r="ID50" t="s">
        <v>119</v>
      </c>
      <c r="IE50" t="s">
        <v>120</v>
      </c>
      <c r="IG50" s="18">
        <v>42123</v>
      </c>
      <c r="IH50" s="18">
        <v>42135</v>
      </c>
      <c r="II50" s="18">
        <v>42137</v>
      </c>
      <c r="IJ50" s="18">
        <v>42165</v>
      </c>
      <c r="IK50">
        <v>0.73</v>
      </c>
      <c r="IL50" t="s">
        <v>119</v>
      </c>
      <c r="IM50" t="s">
        <v>120</v>
      </c>
    </row>
    <row r="51" spans="1:247" x14ac:dyDescent="0.3">
      <c r="A51" s="18">
        <v>42082</v>
      </c>
      <c r="B51" s="18">
        <v>42083</v>
      </c>
      <c r="C51" s="18">
        <v>42087</v>
      </c>
      <c r="D51" s="18">
        <v>42124</v>
      </c>
      <c r="E51">
        <v>0.93081000000000003</v>
      </c>
      <c r="F51" t="s">
        <v>119</v>
      </c>
      <c r="G51" t="s">
        <v>123</v>
      </c>
      <c r="I51" s="18">
        <v>42173</v>
      </c>
      <c r="J51" s="18">
        <v>42174</v>
      </c>
      <c r="K51" s="18">
        <v>42178</v>
      </c>
      <c r="L51" s="18">
        <v>42216</v>
      </c>
      <c r="M51">
        <v>0.25416</v>
      </c>
      <c r="N51" t="s">
        <v>119</v>
      </c>
      <c r="O51" t="s">
        <v>123</v>
      </c>
      <c r="Q51" s="18">
        <v>42173</v>
      </c>
      <c r="R51" s="18">
        <v>42174</v>
      </c>
      <c r="S51" s="18">
        <v>42178</v>
      </c>
      <c r="T51" s="18">
        <v>42184</v>
      </c>
      <c r="U51">
        <v>9.6445000000000003E-2</v>
      </c>
      <c r="V51" t="s">
        <v>119</v>
      </c>
      <c r="W51" t="s">
        <v>123</v>
      </c>
      <c r="AG51">
        <v>42121</v>
      </c>
      <c r="AH51">
        <v>42131</v>
      </c>
      <c r="AI51">
        <v>42135</v>
      </c>
      <c r="AJ51">
        <v>42138</v>
      </c>
      <c r="AK51">
        <v>0.13</v>
      </c>
      <c r="AL51" t="s">
        <v>119</v>
      </c>
      <c r="AM51" t="s">
        <v>120</v>
      </c>
      <c r="BM51" s="18">
        <v>42073</v>
      </c>
      <c r="BN51" s="18">
        <v>42143</v>
      </c>
      <c r="BO51" s="18">
        <v>42145</v>
      </c>
      <c r="BP51" s="18">
        <v>42166</v>
      </c>
      <c r="BQ51">
        <v>0.31</v>
      </c>
      <c r="BR51" t="s">
        <v>119</v>
      </c>
      <c r="BS51" t="s">
        <v>120</v>
      </c>
      <c r="CC51" s="18">
        <v>42222</v>
      </c>
      <c r="CD51" s="18">
        <v>42234</v>
      </c>
      <c r="CE51" s="18">
        <v>42236</v>
      </c>
      <c r="CF51" s="18">
        <v>42258</v>
      </c>
      <c r="CG51">
        <v>2.4380000000000001E-3</v>
      </c>
      <c r="CH51" t="s">
        <v>119</v>
      </c>
      <c r="CI51" t="s">
        <v>120</v>
      </c>
      <c r="DI51" s="18">
        <v>42159</v>
      </c>
      <c r="DJ51" s="18">
        <v>42172</v>
      </c>
      <c r="DK51" s="18">
        <v>42174</v>
      </c>
      <c r="DL51" s="18">
        <v>42185</v>
      </c>
      <c r="DM51">
        <v>0.04</v>
      </c>
      <c r="DN51" t="s">
        <v>119</v>
      </c>
      <c r="DO51" t="s">
        <v>120</v>
      </c>
      <c r="FU51" s="18">
        <v>42080</v>
      </c>
      <c r="FV51" s="18">
        <v>42096</v>
      </c>
      <c r="FW51" s="18">
        <v>42101</v>
      </c>
      <c r="FX51" s="18">
        <v>42122</v>
      </c>
      <c r="FY51">
        <v>0.15</v>
      </c>
      <c r="FZ51" t="s">
        <v>119</v>
      </c>
      <c r="GA51" t="s">
        <v>120</v>
      </c>
      <c r="HA51" s="18">
        <v>42128</v>
      </c>
      <c r="HB51" s="18">
        <v>42138</v>
      </c>
      <c r="HC51" s="18">
        <v>42142</v>
      </c>
      <c r="HD51" s="18">
        <v>42165</v>
      </c>
      <c r="HE51">
        <v>0.5</v>
      </c>
      <c r="HF51" t="s">
        <v>119</v>
      </c>
      <c r="HG51" t="s">
        <v>120</v>
      </c>
      <c r="HI51" s="18">
        <v>42045</v>
      </c>
      <c r="HJ51" s="18">
        <v>42074</v>
      </c>
      <c r="HK51" s="18">
        <v>42076</v>
      </c>
      <c r="HL51" s="18">
        <v>42087</v>
      </c>
      <c r="HM51">
        <v>0.375</v>
      </c>
      <c r="HN51" t="s">
        <v>119</v>
      </c>
      <c r="HO51" t="s">
        <v>120</v>
      </c>
      <c r="HQ51" s="18">
        <v>42080</v>
      </c>
      <c r="HR51" s="18">
        <v>42095</v>
      </c>
      <c r="HS51" s="18">
        <v>42100</v>
      </c>
      <c r="HT51" s="18">
        <v>42124</v>
      </c>
      <c r="HU51">
        <v>0.4</v>
      </c>
      <c r="HV51" t="s">
        <v>119</v>
      </c>
      <c r="HW51" t="s">
        <v>120</v>
      </c>
      <c r="HY51" s="18">
        <v>42306</v>
      </c>
      <c r="HZ51" s="18">
        <v>42318</v>
      </c>
      <c r="IA51" s="18">
        <v>42321</v>
      </c>
      <c r="IB51" s="18">
        <v>42335</v>
      </c>
      <c r="IC51">
        <v>0.4</v>
      </c>
      <c r="ID51" t="s">
        <v>119</v>
      </c>
      <c r="IE51" t="s">
        <v>120</v>
      </c>
      <c r="IG51" s="18">
        <v>42032</v>
      </c>
      <c r="IH51" s="18">
        <v>42041</v>
      </c>
      <c r="II51" s="18">
        <v>42045</v>
      </c>
      <c r="IJ51" s="18">
        <v>42073</v>
      </c>
      <c r="IK51">
        <v>0.69</v>
      </c>
      <c r="IL51" t="s">
        <v>119</v>
      </c>
      <c r="IM51" t="s">
        <v>120</v>
      </c>
    </row>
    <row r="52" spans="1:247" x14ac:dyDescent="0.3">
      <c r="A52" s="18">
        <v>41991</v>
      </c>
      <c r="B52" s="18">
        <v>41992</v>
      </c>
      <c r="C52" s="18">
        <v>41996</v>
      </c>
      <c r="D52" s="18">
        <v>42034</v>
      </c>
      <c r="E52">
        <v>1.1349199999999999</v>
      </c>
      <c r="F52" t="s">
        <v>119</v>
      </c>
      <c r="G52" t="s">
        <v>123</v>
      </c>
      <c r="I52" s="18">
        <v>42082</v>
      </c>
      <c r="J52" s="18">
        <v>42083</v>
      </c>
      <c r="K52" s="18">
        <v>42087</v>
      </c>
      <c r="L52" s="18">
        <v>42124</v>
      </c>
      <c r="M52">
        <v>0.24806</v>
      </c>
      <c r="N52" t="s">
        <v>119</v>
      </c>
      <c r="O52" t="s">
        <v>123</v>
      </c>
      <c r="Q52" s="18">
        <v>42082</v>
      </c>
      <c r="R52" s="18">
        <v>42083</v>
      </c>
      <c r="S52" s="18">
        <v>42087</v>
      </c>
      <c r="T52" s="18">
        <v>42093</v>
      </c>
      <c r="U52">
        <v>8.6715E-2</v>
      </c>
      <c r="V52" t="s">
        <v>119</v>
      </c>
      <c r="W52" t="s">
        <v>123</v>
      </c>
      <c r="AG52">
        <v>42031</v>
      </c>
      <c r="AH52">
        <v>42040</v>
      </c>
      <c r="AI52">
        <v>42044</v>
      </c>
      <c r="AJ52">
        <v>42047</v>
      </c>
      <c r="AK52">
        <v>0.11749999999999999</v>
      </c>
      <c r="AL52" t="s">
        <v>119</v>
      </c>
      <c r="AM52" t="s">
        <v>120</v>
      </c>
      <c r="BM52" s="18">
        <v>41976</v>
      </c>
      <c r="BN52" s="18">
        <v>42052</v>
      </c>
      <c r="BO52" s="18">
        <v>42054</v>
      </c>
      <c r="BP52" s="18">
        <v>42075</v>
      </c>
      <c r="BQ52">
        <v>0.31</v>
      </c>
      <c r="BR52" t="s">
        <v>119</v>
      </c>
      <c r="BS52" t="s">
        <v>120</v>
      </c>
      <c r="CC52" s="18">
        <v>42131</v>
      </c>
      <c r="CD52" s="18">
        <v>42143</v>
      </c>
      <c r="CE52" s="18">
        <v>42145</v>
      </c>
      <c r="CF52" s="18">
        <v>42167</v>
      </c>
      <c r="CG52">
        <v>2.4380000000000001E-3</v>
      </c>
      <c r="CH52" t="s">
        <v>119</v>
      </c>
      <c r="CI52" t="s">
        <v>120</v>
      </c>
      <c r="DI52" s="18">
        <v>42068</v>
      </c>
      <c r="DJ52" s="18">
        <v>42081</v>
      </c>
      <c r="DK52" s="18">
        <v>42083</v>
      </c>
      <c r="DL52" s="18">
        <v>42094</v>
      </c>
      <c r="DM52">
        <v>3.7999999999999999E-2</v>
      </c>
      <c r="DN52" t="s">
        <v>119</v>
      </c>
      <c r="DO52" t="s">
        <v>120</v>
      </c>
      <c r="FU52" s="18">
        <v>41990</v>
      </c>
      <c r="FV52" s="18">
        <v>42009</v>
      </c>
      <c r="FW52" s="18">
        <v>42011</v>
      </c>
      <c r="FX52" s="18">
        <v>42032</v>
      </c>
      <c r="FY52">
        <v>0.12</v>
      </c>
      <c r="FZ52" t="s">
        <v>119</v>
      </c>
      <c r="GA52" t="s">
        <v>120</v>
      </c>
      <c r="HA52" s="18">
        <v>41988</v>
      </c>
      <c r="HB52" s="18">
        <v>42046</v>
      </c>
      <c r="HC52" s="18">
        <v>42048</v>
      </c>
      <c r="HD52" s="18">
        <v>42073</v>
      </c>
      <c r="HE52">
        <v>0.5</v>
      </c>
      <c r="HF52" t="s">
        <v>119</v>
      </c>
      <c r="HG52" t="s">
        <v>120</v>
      </c>
      <c r="HI52" s="18">
        <v>41949</v>
      </c>
      <c r="HJ52" s="18">
        <v>41976</v>
      </c>
      <c r="HK52" s="18">
        <v>41978</v>
      </c>
      <c r="HL52" s="18">
        <v>41989</v>
      </c>
      <c r="HM52">
        <v>0.375</v>
      </c>
      <c r="HN52" t="s">
        <v>119</v>
      </c>
      <c r="HO52" t="s">
        <v>120</v>
      </c>
      <c r="HQ52" s="18">
        <v>41982</v>
      </c>
      <c r="HR52" s="18">
        <v>42006</v>
      </c>
      <c r="HS52" s="18">
        <v>42010</v>
      </c>
      <c r="HT52" s="18">
        <v>42035</v>
      </c>
      <c r="HU52">
        <v>0.4</v>
      </c>
      <c r="HV52" t="s">
        <v>119</v>
      </c>
      <c r="HW52" t="s">
        <v>120</v>
      </c>
      <c r="HY52" s="18">
        <v>42212</v>
      </c>
      <c r="HZ52" s="18">
        <v>42228</v>
      </c>
      <c r="IA52" s="18">
        <v>42230</v>
      </c>
      <c r="IB52" s="18">
        <v>42244</v>
      </c>
      <c r="IC52">
        <v>0.4</v>
      </c>
      <c r="ID52" t="s">
        <v>119</v>
      </c>
      <c r="IE52" t="s">
        <v>120</v>
      </c>
      <c r="IG52" s="18">
        <v>41941</v>
      </c>
      <c r="IH52" s="18">
        <v>41950</v>
      </c>
      <c r="II52" s="18">
        <v>41955</v>
      </c>
      <c r="IJ52" s="18">
        <v>41983</v>
      </c>
      <c r="IK52">
        <v>0.69</v>
      </c>
      <c r="IL52" t="s">
        <v>119</v>
      </c>
      <c r="IM52" t="s">
        <v>120</v>
      </c>
    </row>
    <row r="53" spans="1:247" x14ac:dyDescent="0.3">
      <c r="A53" s="18">
        <v>41900</v>
      </c>
      <c r="B53" s="18">
        <v>41901</v>
      </c>
      <c r="C53" s="18">
        <v>41905</v>
      </c>
      <c r="D53" s="18">
        <v>41943</v>
      </c>
      <c r="E53">
        <v>0.93918999999999997</v>
      </c>
      <c r="F53" t="s">
        <v>119</v>
      </c>
      <c r="G53" t="s">
        <v>123</v>
      </c>
      <c r="I53" s="18">
        <v>41991</v>
      </c>
      <c r="J53" s="18">
        <v>41992</v>
      </c>
      <c r="K53" s="18">
        <v>41996</v>
      </c>
      <c r="L53" s="18">
        <v>42004</v>
      </c>
      <c r="M53">
        <v>0.38680999999999999</v>
      </c>
      <c r="N53" t="s">
        <v>119</v>
      </c>
      <c r="O53" t="s">
        <v>123</v>
      </c>
      <c r="Q53" s="18">
        <v>41991</v>
      </c>
      <c r="R53" s="18">
        <v>41992</v>
      </c>
      <c r="S53" s="18">
        <v>41996</v>
      </c>
      <c r="T53" s="18">
        <v>42003</v>
      </c>
      <c r="U53">
        <v>0.10824499999999999</v>
      </c>
      <c r="V53" t="s">
        <v>119</v>
      </c>
      <c r="W53" t="s">
        <v>123</v>
      </c>
      <c r="AG53">
        <v>41932</v>
      </c>
      <c r="AH53">
        <v>41949</v>
      </c>
      <c r="AI53">
        <v>41953</v>
      </c>
      <c r="AJ53">
        <v>41956</v>
      </c>
      <c r="AK53">
        <v>0.11749999999999999</v>
      </c>
      <c r="AL53" t="s">
        <v>119</v>
      </c>
      <c r="AM53" t="s">
        <v>120</v>
      </c>
      <c r="BM53" s="18">
        <v>41898</v>
      </c>
      <c r="BN53" s="18">
        <v>41961</v>
      </c>
      <c r="BO53" s="18">
        <v>41963</v>
      </c>
      <c r="BP53" s="18">
        <v>41984</v>
      </c>
      <c r="BQ53">
        <v>0.31</v>
      </c>
      <c r="BR53" t="s">
        <v>119</v>
      </c>
      <c r="BS53" t="s">
        <v>120</v>
      </c>
      <c r="CC53" s="18">
        <v>42046</v>
      </c>
      <c r="CD53" s="18">
        <v>42059</v>
      </c>
      <c r="CE53" s="18">
        <v>42061</v>
      </c>
      <c r="CF53" s="18">
        <v>42082</v>
      </c>
      <c r="CG53">
        <v>2.1250000000000002E-3</v>
      </c>
      <c r="CH53" t="s">
        <v>119</v>
      </c>
      <c r="CI53" t="s">
        <v>120</v>
      </c>
      <c r="DI53" s="18">
        <v>41982</v>
      </c>
      <c r="DJ53" s="18">
        <v>41990</v>
      </c>
      <c r="DK53" s="18">
        <v>41992</v>
      </c>
      <c r="DL53" s="18">
        <v>42004</v>
      </c>
      <c r="DM53">
        <v>3.5000000000000003E-2</v>
      </c>
      <c r="DN53" t="s">
        <v>119</v>
      </c>
      <c r="DO53" t="s">
        <v>120</v>
      </c>
      <c r="FU53" s="18">
        <v>41900</v>
      </c>
      <c r="FV53" s="18">
        <v>41918</v>
      </c>
      <c r="FW53" s="18">
        <v>41920</v>
      </c>
      <c r="FX53" s="18">
        <v>41941</v>
      </c>
      <c r="FY53">
        <v>0.12</v>
      </c>
      <c r="FZ53" t="s">
        <v>119</v>
      </c>
      <c r="GA53" t="s">
        <v>120</v>
      </c>
      <c r="HA53" s="18">
        <v>41932</v>
      </c>
      <c r="HB53" s="18">
        <v>41955</v>
      </c>
      <c r="HC53" s="18">
        <v>41957</v>
      </c>
      <c r="HD53" s="18">
        <v>41983</v>
      </c>
      <c r="HE53">
        <v>0.49</v>
      </c>
      <c r="HF53" t="s">
        <v>119</v>
      </c>
      <c r="HG53" t="s">
        <v>120</v>
      </c>
      <c r="HI53" s="18">
        <v>41863</v>
      </c>
      <c r="HJ53" s="18">
        <v>41892</v>
      </c>
      <c r="HK53" s="18">
        <v>41894</v>
      </c>
      <c r="HL53" s="18">
        <v>41905</v>
      </c>
      <c r="HM53">
        <v>0.375</v>
      </c>
      <c r="HN53" t="s">
        <v>119</v>
      </c>
      <c r="HO53" t="s">
        <v>120</v>
      </c>
      <c r="HQ53" s="18">
        <v>41898</v>
      </c>
      <c r="HR53" s="18">
        <v>41914</v>
      </c>
      <c r="HS53" s="18">
        <v>41918</v>
      </c>
      <c r="HT53" s="18">
        <v>41943</v>
      </c>
      <c r="HU53">
        <v>0.4</v>
      </c>
      <c r="HV53" t="s">
        <v>119</v>
      </c>
      <c r="HW53" t="s">
        <v>120</v>
      </c>
      <c r="HY53" s="18">
        <v>42111</v>
      </c>
      <c r="HZ53" s="18">
        <v>42123</v>
      </c>
      <c r="IA53" s="18">
        <v>42125</v>
      </c>
      <c r="IB53" s="18">
        <v>42139</v>
      </c>
      <c r="IC53">
        <v>0.4</v>
      </c>
      <c r="ID53" t="s">
        <v>119</v>
      </c>
      <c r="IE53" t="s">
        <v>120</v>
      </c>
      <c r="IG53" s="18">
        <v>41850</v>
      </c>
      <c r="IH53" s="18">
        <v>41862</v>
      </c>
      <c r="II53" s="18">
        <v>41864</v>
      </c>
      <c r="IJ53" s="18">
        <v>41892</v>
      </c>
      <c r="IK53">
        <v>0.69</v>
      </c>
      <c r="IL53" t="s">
        <v>119</v>
      </c>
      <c r="IM53" t="s">
        <v>120</v>
      </c>
    </row>
    <row r="54" spans="1:247" x14ac:dyDescent="0.3">
      <c r="A54" s="18">
        <v>41809</v>
      </c>
      <c r="B54" s="18">
        <v>41810</v>
      </c>
      <c r="C54" s="18">
        <v>41814</v>
      </c>
      <c r="D54" s="18">
        <v>41851</v>
      </c>
      <c r="E54">
        <v>0.93669000000000002</v>
      </c>
      <c r="F54" t="s">
        <v>119</v>
      </c>
      <c r="G54" t="s">
        <v>123</v>
      </c>
      <c r="I54" s="18">
        <v>41900</v>
      </c>
      <c r="J54" s="18">
        <v>41901</v>
      </c>
      <c r="K54" s="18">
        <v>41905</v>
      </c>
      <c r="L54" s="18">
        <v>41943</v>
      </c>
      <c r="M54">
        <v>0.23780000000000001</v>
      </c>
      <c r="N54" t="s">
        <v>119</v>
      </c>
      <c r="O54" t="s">
        <v>123</v>
      </c>
      <c r="Q54" s="18">
        <v>41900</v>
      </c>
      <c r="R54" s="18">
        <v>41901</v>
      </c>
      <c r="S54" s="18">
        <v>41905</v>
      </c>
      <c r="T54" s="18">
        <v>41911</v>
      </c>
      <c r="U54">
        <v>8.6879999999999999E-2</v>
      </c>
      <c r="V54" t="s">
        <v>119</v>
      </c>
      <c r="W54" t="s">
        <v>123</v>
      </c>
      <c r="AG54">
        <v>41842</v>
      </c>
      <c r="AH54">
        <v>41858</v>
      </c>
      <c r="AI54">
        <v>41862</v>
      </c>
      <c r="AJ54">
        <v>41865</v>
      </c>
      <c r="AK54">
        <v>0.11749999999999999</v>
      </c>
      <c r="AL54" t="s">
        <v>119</v>
      </c>
      <c r="AM54" t="s">
        <v>120</v>
      </c>
      <c r="BM54" s="18">
        <v>41800</v>
      </c>
      <c r="BN54" s="18">
        <v>41870</v>
      </c>
      <c r="BO54" s="18">
        <v>41872</v>
      </c>
      <c r="BP54" s="18">
        <v>41893</v>
      </c>
      <c r="BQ54">
        <v>0.28000000000000003</v>
      </c>
      <c r="BR54" t="s">
        <v>119</v>
      </c>
      <c r="BS54" t="s">
        <v>120</v>
      </c>
      <c r="CC54" s="18">
        <v>41949</v>
      </c>
      <c r="CD54" s="18">
        <v>41962</v>
      </c>
      <c r="CE54" s="18">
        <v>41964</v>
      </c>
      <c r="CF54" s="18">
        <v>41988</v>
      </c>
      <c r="CG54">
        <v>2.1250000000000002E-3</v>
      </c>
      <c r="CH54" t="s">
        <v>119</v>
      </c>
      <c r="CI54" t="s">
        <v>120</v>
      </c>
      <c r="DI54" s="18">
        <v>41886</v>
      </c>
      <c r="DJ54" s="18">
        <v>41899</v>
      </c>
      <c r="DK54" s="18">
        <v>41901</v>
      </c>
      <c r="DL54" s="18">
        <v>41912</v>
      </c>
      <c r="DM54">
        <v>3.2000000000000001E-2</v>
      </c>
      <c r="DN54" t="s">
        <v>119</v>
      </c>
      <c r="DO54" t="s">
        <v>120</v>
      </c>
      <c r="FU54" s="18">
        <v>41809</v>
      </c>
      <c r="FV54" s="18">
        <v>41827</v>
      </c>
      <c r="FW54" s="18">
        <v>41829</v>
      </c>
      <c r="FX54" s="18">
        <v>41850</v>
      </c>
      <c r="FY54">
        <v>0.12</v>
      </c>
      <c r="FZ54" t="s">
        <v>119</v>
      </c>
      <c r="GA54" t="s">
        <v>120</v>
      </c>
      <c r="HA54" s="18">
        <v>41806</v>
      </c>
      <c r="HB54" s="18">
        <v>41864</v>
      </c>
      <c r="HC54" s="18">
        <v>41866</v>
      </c>
      <c r="HD54" s="18">
        <v>41892</v>
      </c>
      <c r="HE54">
        <v>0.49</v>
      </c>
      <c r="HF54" t="s">
        <v>119</v>
      </c>
      <c r="HG54" t="s">
        <v>120</v>
      </c>
      <c r="HI54" s="18">
        <v>41794</v>
      </c>
      <c r="HJ54" s="18">
        <v>41802</v>
      </c>
      <c r="HK54" s="18">
        <v>41806</v>
      </c>
      <c r="HL54" s="18">
        <v>41815</v>
      </c>
      <c r="HM54">
        <v>0.375</v>
      </c>
      <c r="HN54" t="s">
        <v>119</v>
      </c>
      <c r="HO54" t="s">
        <v>120</v>
      </c>
      <c r="HQ54" s="18">
        <v>41724</v>
      </c>
      <c r="HR54" s="18">
        <v>41821</v>
      </c>
      <c r="HS54" s="18">
        <v>41823</v>
      </c>
      <c r="HT54" s="18">
        <v>41851</v>
      </c>
      <c r="HU54">
        <v>0.4</v>
      </c>
      <c r="HV54" t="s">
        <v>119</v>
      </c>
      <c r="HW54" t="s">
        <v>120</v>
      </c>
      <c r="HY54" s="18">
        <v>42033</v>
      </c>
      <c r="HZ54" s="18">
        <v>42046</v>
      </c>
      <c r="IA54" s="18">
        <v>42048</v>
      </c>
      <c r="IB54" s="18">
        <v>42062</v>
      </c>
      <c r="IC54">
        <v>0.35499999999999998</v>
      </c>
      <c r="ID54" t="s">
        <v>119</v>
      </c>
      <c r="IE54" t="s">
        <v>120</v>
      </c>
      <c r="IG54" s="18">
        <v>41759</v>
      </c>
      <c r="IH54" s="18">
        <v>41768</v>
      </c>
      <c r="II54" s="18">
        <v>41772</v>
      </c>
      <c r="IJ54" s="18">
        <v>41800</v>
      </c>
      <c r="IK54">
        <v>0.69</v>
      </c>
      <c r="IL54" t="s">
        <v>119</v>
      </c>
      <c r="IM54" t="s">
        <v>120</v>
      </c>
    </row>
    <row r="55" spans="1:247" x14ac:dyDescent="0.3">
      <c r="A55" s="18">
        <v>41718</v>
      </c>
      <c r="B55" s="18">
        <v>41719</v>
      </c>
      <c r="C55" s="18">
        <v>41723</v>
      </c>
      <c r="D55" s="18">
        <v>41759</v>
      </c>
      <c r="E55">
        <v>0.82460999999999995</v>
      </c>
      <c r="F55" t="s">
        <v>119</v>
      </c>
      <c r="G55" t="s">
        <v>123</v>
      </c>
      <c r="I55" s="18">
        <v>41652</v>
      </c>
      <c r="J55" s="18">
        <v>41810</v>
      </c>
      <c r="K55" s="18">
        <v>41814</v>
      </c>
      <c r="L55" s="18">
        <v>41851</v>
      </c>
      <c r="M55">
        <v>0.24909999999999999</v>
      </c>
      <c r="N55" t="s">
        <v>119</v>
      </c>
      <c r="O55" t="s">
        <v>123</v>
      </c>
      <c r="Q55" s="18">
        <v>41809</v>
      </c>
      <c r="R55" s="18">
        <v>41810</v>
      </c>
      <c r="S55" s="18">
        <v>41814</v>
      </c>
      <c r="T55" s="18">
        <v>41820</v>
      </c>
      <c r="U55">
        <v>8.8010000000000005E-2</v>
      </c>
      <c r="V55" t="s">
        <v>119</v>
      </c>
      <c r="W55" t="s">
        <v>123</v>
      </c>
      <c r="AG55">
        <v>41752</v>
      </c>
      <c r="AH55">
        <v>41799</v>
      </c>
      <c r="AI55">
        <v>41792</v>
      </c>
      <c r="AJ55">
        <v>41796</v>
      </c>
      <c r="AK55">
        <v>7</v>
      </c>
      <c r="AL55" t="s">
        <v>121</v>
      </c>
      <c r="AM55" t="s">
        <v>122</v>
      </c>
      <c r="BM55" s="18">
        <v>41709</v>
      </c>
      <c r="BN55" s="18">
        <v>41772</v>
      </c>
      <c r="BO55" s="18">
        <v>41774</v>
      </c>
      <c r="BP55" s="18">
        <v>41802</v>
      </c>
      <c r="BQ55">
        <v>0.28000000000000003</v>
      </c>
      <c r="BR55" t="s">
        <v>119</v>
      </c>
      <c r="BS55" t="s">
        <v>120</v>
      </c>
      <c r="CC55" s="18">
        <v>41858</v>
      </c>
      <c r="CD55" s="18">
        <v>41870</v>
      </c>
      <c r="CE55" s="18">
        <v>41872</v>
      </c>
      <c r="CF55" s="18">
        <v>41894</v>
      </c>
      <c r="CG55">
        <v>2.1250000000000002E-3</v>
      </c>
      <c r="CH55" t="s">
        <v>119</v>
      </c>
      <c r="CI55" t="s">
        <v>120</v>
      </c>
      <c r="DI55" s="18">
        <v>41795</v>
      </c>
      <c r="DJ55" s="18">
        <v>41807</v>
      </c>
      <c r="DK55" s="18">
        <v>41809</v>
      </c>
      <c r="DL55" s="18">
        <v>41820</v>
      </c>
      <c r="DM55">
        <v>2.9000000000000001E-2</v>
      </c>
      <c r="DN55" t="s">
        <v>119</v>
      </c>
      <c r="DO55" t="s">
        <v>120</v>
      </c>
      <c r="FU55" s="18">
        <v>41716</v>
      </c>
      <c r="FV55" s="18">
        <v>41733</v>
      </c>
      <c r="FW55" s="18">
        <v>41737</v>
      </c>
      <c r="FX55" s="18">
        <v>41758</v>
      </c>
      <c r="FY55">
        <v>0.12</v>
      </c>
      <c r="FZ55" t="s">
        <v>119</v>
      </c>
      <c r="GA55" t="s">
        <v>120</v>
      </c>
      <c r="HA55" s="18">
        <v>41764</v>
      </c>
      <c r="HB55" s="18">
        <v>41772</v>
      </c>
      <c r="HC55" s="18">
        <v>41774</v>
      </c>
      <c r="HD55" s="18">
        <v>41800</v>
      </c>
      <c r="HE55">
        <v>0.49</v>
      </c>
      <c r="HF55" t="s">
        <v>119</v>
      </c>
      <c r="HG55" t="s">
        <v>120</v>
      </c>
      <c r="HI55" s="18">
        <v>41682</v>
      </c>
      <c r="HJ55" s="18">
        <v>41710</v>
      </c>
      <c r="HK55" s="18">
        <v>41712</v>
      </c>
      <c r="HL55" s="18">
        <v>41723</v>
      </c>
      <c r="HM55">
        <v>0.28000000000000003</v>
      </c>
      <c r="HN55" t="s">
        <v>119</v>
      </c>
      <c r="HO55" t="s">
        <v>120</v>
      </c>
      <c r="HQ55" s="18">
        <v>41716</v>
      </c>
      <c r="HR55" s="18">
        <v>41731</v>
      </c>
      <c r="HS55" s="18">
        <v>41733</v>
      </c>
      <c r="HT55" s="18">
        <v>41759</v>
      </c>
      <c r="HU55">
        <v>0.38</v>
      </c>
      <c r="HV55" t="s">
        <v>119</v>
      </c>
      <c r="HW55" t="s">
        <v>120</v>
      </c>
      <c r="HY55" s="18">
        <v>42034</v>
      </c>
      <c r="HZ55" s="18">
        <v>42040</v>
      </c>
      <c r="IA55" s="18">
        <v>42044</v>
      </c>
      <c r="IB55" s="18">
        <v>42062</v>
      </c>
      <c r="IC55">
        <v>5</v>
      </c>
      <c r="ID55" t="s">
        <v>121</v>
      </c>
      <c r="IE55" t="s">
        <v>124</v>
      </c>
      <c r="IG55" s="18">
        <v>41668</v>
      </c>
      <c r="IH55" s="18">
        <v>41676</v>
      </c>
      <c r="II55" s="18">
        <v>41680</v>
      </c>
      <c r="IJ55" s="18">
        <v>41708</v>
      </c>
      <c r="IK55">
        <v>0.63</v>
      </c>
      <c r="IL55" t="s">
        <v>119</v>
      </c>
      <c r="IM55" t="s">
        <v>120</v>
      </c>
    </row>
    <row r="56" spans="1:247" x14ac:dyDescent="0.3">
      <c r="A56" s="18">
        <v>41627</v>
      </c>
      <c r="B56" s="18">
        <v>41628</v>
      </c>
      <c r="C56" s="18">
        <v>41632</v>
      </c>
      <c r="D56" s="18">
        <v>41670</v>
      </c>
      <c r="E56">
        <v>0.98024999999999995</v>
      </c>
      <c r="F56" t="s">
        <v>119</v>
      </c>
      <c r="G56" t="s">
        <v>123</v>
      </c>
      <c r="I56" s="18">
        <v>41718</v>
      </c>
      <c r="J56" s="18">
        <v>41719</v>
      </c>
      <c r="K56" s="18">
        <v>41723</v>
      </c>
      <c r="L56" s="18">
        <v>41759</v>
      </c>
      <c r="M56">
        <v>0.20605999999999999</v>
      </c>
      <c r="N56" t="s">
        <v>119</v>
      </c>
      <c r="O56" t="s">
        <v>123</v>
      </c>
      <c r="Q56" s="18">
        <v>41718</v>
      </c>
      <c r="R56" s="18">
        <v>41719</v>
      </c>
      <c r="S56" s="18">
        <v>41723</v>
      </c>
      <c r="T56" s="18">
        <v>41729</v>
      </c>
      <c r="U56">
        <v>7.8659999999999994E-2</v>
      </c>
      <c r="V56" t="s">
        <v>119</v>
      </c>
      <c r="W56" t="s">
        <v>123</v>
      </c>
      <c r="AG56">
        <v>41752</v>
      </c>
      <c r="AH56">
        <v>41767</v>
      </c>
      <c r="AI56">
        <v>41771</v>
      </c>
      <c r="AJ56">
        <v>41774</v>
      </c>
      <c r="AK56">
        <v>0.11749999999999999</v>
      </c>
      <c r="AL56" t="s">
        <v>119</v>
      </c>
      <c r="AM56" t="s">
        <v>120</v>
      </c>
      <c r="BM56" s="18">
        <v>41597</v>
      </c>
      <c r="BN56" s="18">
        <v>41688</v>
      </c>
      <c r="BO56" s="18">
        <v>41690</v>
      </c>
      <c r="BP56" s="18">
        <v>41711</v>
      </c>
      <c r="BQ56">
        <v>0.28000000000000003</v>
      </c>
      <c r="BR56" t="s">
        <v>119</v>
      </c>
      <c r="BS56" t="s">
        <v>120</v>
      </c>
      <c r="CC56" s="18">
        <v>41767</v>
      </c>
      <c r="CD56" s="18">
        <v>41779</v>
      </c>
      <c r="CE56" s="18">
        <v>41781</v>
      </c>
      <c r="CF56" s="18">
        <v>41803</v>
      </c>
      <c r="CG56">
        <v>2.1250000000000002E-3</v>
      </c>
      <c r="CH56" t="s">
        <v>119</v>
      </c>
      <c r="CI56" t="s">
        <v>120</v>
      </c>
      <c r="DI56" s="18">
        <v>41703</v>
      </c>
      <c r="DJ56" s="18">
        <v>41716</v>
      </c>
      <c r="DK56" s="18">
        <v>41718</v>
      </c>
      <c r="DL56" s="18">
        <v>41729</v>
      </c>
      <c r="DM56">
        <v>2.7E-2</v>
      </c>
      <c r="DN56" t="s">
        <v>119</v>
      </c>
      <c r="DO56" t="s">
        <v>120</v>
      </c>
      <c r="FU56" s="18">
        <v>41626</v>
      </c>
      <c r="FV56" s="18">
        <v>41642</v>
      </c>
      <c r="FW56" s="18">
        <v>41646</v>
      </c>
      <c r="FX56" s="18">
        <v>41667</v>
      </c>
      <c r="FY56">
        <v>0.12</v>
      </c>
      <c r="FZ56" t="s">
        <v>119</v>
      </c>
      <c r="GA56" t="s">
        <v>120</v>
      </c>
      <c r="HA56" s="18">
        <v>41624</v>
      </c>
      <c r="HB56" s="18">
        <v>41682</v>
      </c>
      <c r="HC56" s="18">
        <v>41684</v>
      </c>
      <c r="HD56" s="18">
        <v>41708</v>
      </c>
      <c r="HE56">
        <v>0.49</v>
      </c>
      <c r="HF56" t="s">
        <v>119</v>
      </c>
      <c r="HG56" t="s">
        <v>120</v>
      </c>
      <c r="HI56" s="18">
        <v>41586</v>
      </c>
      <c r="HJ56" s="18">
        <v>41612</v>
      </c>
      <c r="HK56" s="18">
        <v>41614</v>
      </c>
      <c r="HL56" s="18">
        <v>41625</v>
      </c>
      <c r="HM56">
        <v>0.28000000000000003</v>
      </c>
      <c r="HN56" t="s">
        <v>119</v>
      </c>
      <c r="HO56" t="s">
        <v>120</v>
      </c>
      <c r="HQ56" s="18">
        <v>41618</v>
      </c>
      <c r="HR56" s="18">
        <v>41641</v>
      </c>
      <c r="HS56" s="18">
        <v>41645</v>
      </c>
      <c r="HT56" s="18">
        <v>41670</v>
      </c>
      <c r="HU56">
        <v>0.38</v>
      </c>
      <c r="HV56" t="s">
        <v>119</v>
      </c>
      <c r="HW56" t="s">
        <v>120</v>
      </c>
      <c r="HY56" s="18">
        <v>41940</v>
      </c>
      <c r="HZ56" s="18">
        <v>41955</v>
      </c>
      <c r="IA56" s="18">
        <v>41957</v>
      </c>
      <c r="IB56" s="18">
        <v>41971</v>
      </c>
      <c r="IC56">
        <v>0.35499999999999998</v>
      </c>
      <c r="ID56" t="s">
        <v>119</v>
      </c>
      <c r="IE56" t="s">
        <v>120</v>
      </c>
      <c r="IG56" s="18">
        <v>41577</v>
      </c>
      <c r="IH56" s="18">
        <v>41585</v>
      </c>
      <c r="II56" s="18">
        <v>41590</v>
      </c>
      <c r="IJ56" s="18">
        <v>41618</v>
      </c>
      <c r="IK56">
        <v>0.63</v>
      </c>
      <c r="IL56" t="s">
        <v>119</v>
      </c>
      <c r="IM56" t="s">
        <v>120</v>
      </c>
    </row>
    <row r="57" spans="1:247" x14ac:dyDescent="0.3">
      <c r="A57" s="18">
        <v>41536</v>
      </c>
      <c r="B57" s="18">
        <v>41537</v>
      </c>
      <c r="C57" s="18">
        <v>41541</v>
      </c>
      <c r="D57" s="18">
        <v>41578</v>
      </c>
      <c r="E57">
        <v>0.83794999999999997</v>
      </c>
      <c r="F57" t="s">
        <v>119</v>
      </c>
      <c r="G57" t="s">
        <v>123</v>
      </c>
      <c r="I57" s="18">
        <v>41691</v>
      </c>
      <c r="J57" s="18">
        <v>41697</v>
      </c>
      <c r="K57" s="18">
        <v>41701</v>
      </c>
      <c r="L57" s="18">
        <v>41705</v>
      </c>
      <c r="M57">
        <v>0.37313000000000002</v>
      </c>
      <c r="N57" t="s">
        <v>121</v>
      </c>
      <c r="O57" t="s">
        <v>124</v>
      </c>
      <c r="Q57" s="18">
        <v>41627</v>
      </c>
      <c r="R57" s="18">
        <v>41628</v>
      </c>
      <c r="S57" s="18">
        <v>41632</v>
      </c>
      <c r="T57" s="18">
        <v>41639</v>
      </c>
      <c r="U57">
        <v>8.5654999999999995E-2</v>
      </c>
      <c r="V57" t="s">
        <v>119</v>
      </c>
      <c r="W57" t="s">
        <v>123</v>
      </c>
      <c r="AG57">
        <v>41666</v>
      </c>
      <c r="AH57">
        <v>41676</v>
      </c>
      <c r="AI57">
        <v>41680</v>
      </c>
      <c r="AJ57">
        <v>41683</v>
      </c>
      <c r="AK57">
        <v>0.108929</v>
      </c>
      <c r="AL57" t="s">
        <v>119</v>
      </c>
      <c r="AM57" t="s">
        <v>120</v>
      </c>
      <c r="BM57" s="18">
        <v>41534</v>
      </c>
      <c r="BN57" s="18">
        <v>41597</v>
      </c>
      <c r="BO57" s="18">
        <v>41599</v>
      </c>
      <c r="BP57" s="18">
        <v>41620</v>
      </c>
      <c r="BQ57">
        <v>0.28000000000000003</v>
      </c>
      <c r="BR57" t="s">
        <v>119</v>
      </c>
      <c r="BS57" t="s">
        <v>120</v>
      </c>
      <c r="CC57" s="18">
        <v>41682</v>
      </c>
      <c r="CD57" s="18">
        <v>41695</v>
      </c>
      <c r="CE57" s="18">
        <v>41697</v>
      </c>
      <c r="CF57" s="18">
        <v>41718</v>
      </c>
      <c r="CG57">
        <v>2.1250000000000002E-3</v>
      </c>
      <c r="CH57" t="s">
        <v>119</v>
      </c>
      <c r="CI57" t="s">
        <v>120</v>
      </c>
      <c r="DI57" s="18">
        <v>41619</v>
      </c>
      <c r="DJ57" s="18">
        <v>41626</v>
      </c>
      <c r="DK57" s="18">
        <v>41628</v>
      </c>
      <c r="DL57" s="18">
        <v>41639</v>
      </c>
      <c r="DM57">
        <v>2.5000000000000001E-2</v>
      </c>
      <c r="DN57" t="s">
        <v>119</v>
      </c>
      <c r="DO57" t="s">
        <v>120</v>
      </c>
      <c r="FU57" s="18">
        <v>41535</v>
      </c>
      <c r="FV57" s="18">
        <v>41551</v>
      </c>
      <c r="FW57" s="18">
        <v>41555</v>
      </c>
      <c r="FX57" s="18">
        <v>41576</v>
      </c>
      <c r="FY57">
        <v>0.12</v>
      </c>
      <c r="FZ57" t="s">
        <v>119</v>
      </c>
      <c r="GA57" t="s">
        <v>120</v>
      </c>
      <c r="HA57" s="18">
        <v>41568</v>
      </c>
      <c r="HB57" s="18">
        <v>41591</v>
      </c>
      <c r="HC57" s="18">
        <v>41593</v>
      </c>
      <c r="HD57" s="18">
        <v>41618</v>
      </c>
      <c r="HE57">
        <v>0.49</v>
      </c>
      <c r="HF57" t="s">
        <v>119</v>
      </c>
      <c r="HG57" t="s">
        <v>120</v>
      </c>
      <c r="HI57" s="18">
        <v>41500</v>
      </c>
      <c r="HJ57" s="18">
        <v>41528</v>
      </c>
      <c r="HK57" s="18">
        <v>41530</v>
      </c>
      <c r="HL57" s="18">
        <v>41541</v>
      </c>
      <c r="HM57">
        <v>0.28000000000000003</v>
      </c>
      <c r="HN57" t="s">
        <v>119</v>
      </c>
      <c r="HO57" t="s">
        <v>120</v>
      </c>
      <c r="HQ57" s="18">
        <v>41534</v>
      </c>
      <c r="HR57" s="18">
        <v>41549</v>
      </c>
      <c r="HS57" s="18">
        <v>41551</v>
      </c>
      <c r="HT57" s="18">
        <v>41578</v>
      </c>
      <c r="HU57">
        <v>0.38</v>
      </c>
      <c r="HV57" t="s">
        <v>119</v>
      </c>
      <c r="HW57" t="s">
        <v>120</v>
      </c>
      <c r="HY57" s="18">
        <v>41813</v>
      </c>
      <c r="HZ57" s="18">
        <v>41829</v>
      </c>
      <c r="IA57" s="18">
        <v>41831</v>
      </c>
      <c r="IB57" s="18">
        <v>41845</v>
      </c>
      <c r="IC57">
        <v>0.35499999999999998</v>
      </c>
      <c r="ID57" t="s">
        <v>119</v>
      </c>
      <c r="IE57" t="s">
        <v>120</v>
      </c>
      <c r="IG57" s="18">
        <v>41486</v>
      </c>
      <c r="IH57" s="18">
        <v>41495</v>
      </c>
      <c r="II57" s="18">
        <v>41499</v>
      </c>
      <c r="IJ57" s="18">
        <v>41527</v>
      </c>
      <c r="IK57">
        <v>0.63</v>
      </c>
      <c r="IL57" t="s">
        <v>119</v>
      </c>
      <c r="IM57" t="s">
        <v>120</v>
      </c>
    </row>
    <row r="58" spans="1:247" x14ac:dyDescent="0.3">
      <c r="A58" s="18">
        <v>41445</v>
      </c>
      <c r="B58" s="18">
        <v>41446</v>
      </c>
      <c r="C58" s="18">
        <v>41450</v>
      </c>
      <c r="D58" s="18">
        <v>41486</v>
      </c>
      <c r="E58">
        <v>0.83911999999999998</v>
      </c>
      <c r="F58" t="s">
        <v>119</v>
      </c>
      <c r="G58" t="s">
        <v>123</v>
      </c>
      <c r="I58" s="18">
        <v>41284</v>
      </c>
      <c r="J58" s="18">
        <v>41628</v>
      </c>
      <c r="K58" s="18">
        <v>41632</v>
      </c>
      <c r="L58" s="18">
        <v>41639</v>
      </c>
      <c r="M58">
        <v>0.27240999999999999</v>
      </c>
      <c r="N58" t="s">
        <v>119</v>
      </c>
      <c r="O58" t="s">
        <v>123</v>
      </c>
      <c r="Q58" s="18">
        <v>41536</v>
      </c>
      <c r="R58" s="18">
        <v>41537</v>
      </c>
      <c r="S58" s="18">
        <v>41541</v>
      </c>
      <c r="T58" s="18">
        <v>41547</v>
      </c>
      <c r="U58">
        <v>7.9164999999999999E-2</v>
      </c>
      <c r="V58" t="s">
        <v>119</v>
      </c>
      <c r="W58" t="s">
        <v>123</v>
      </c>
      <c r="AG58">
        <v>41575</v>
      </c>
      <c r="AH58">
        <v>41584</v>
      </c>
      <c r="AI58">
        <v>41589</v>
      </c>
      <c r="AJ58">
        <v>41592</v>
      </c>
      <c r="AK58">
        <v>0.108929</v>
      </c>
      <c r="AL58" t="s">
        <v>119</v>
      </c>
      <c r="AM58" t="s">
        <v>120</v>
      </c>
      <c r="BM58" s="18">
        <v>41437</v>
      </c>
      <c r="BN58" s="18">
        <v>41499</v>
      </c>
      <c r="BO58" s="18">
        <v>41501</v>
      </c>
      <c r="BP58" s="18">
        <v>41529</v>
      </c>
      <c r="BQ58">
        <v>0.23</v>
      </c>
      <c r="BR58" t="s">
        <v>119</v>
      </c>
      <c r="BS58" t="s">
        <v>120</v>
      </c>
      <c r="CC58" s="18">
        <v>41585</v>
      </c>
      <c r="CD58" s="18">
        <v>41597</v>
      </c>
      <c r="CE58" s="18">
        <v>41599</v>
      </c>
      <c r="CF58" s="18">
        <v>41621</v>
      </c>
      <c r="CG58">
        <v>2.1250000000000002E-3</v>
      </c>
      <c r="CH58" t="s">
        <v>119</v>
      </c>
      <c r="CI58" t="s">
        <v>120</v>
      </c>
      <c r="DI58" s="18">
        <v>41522</v>
      </c>
      <c r="DJ58" s="18">
        <v>41534</v>
      </c>
      <c r="DK58" s="18">
        <v>41536</v>
      </c>
      <c r="DL58" s="18">
        <v>41547</v>
      </c>
      <c r="DM58">
        <v>2.3E-2</v>
      </c>
      <c r="DN58" t="s">
        <v>119</v>
      </c>
      <c r="DO58" t="s">
        <v>120</v>
      </c>
      <c r="FU58" s="18">
        <v>41445</v>
      </c>
      <c r="FV58" s="18">
        <v>41465</v>
      </c>
      <c r="FW58" s="18">
        <v>41467</v>
      </c>
      <c r="FX58" s="18">
        <v>41488</v>
      </c>
      <c r="FY58">
        <v>0.12</v>
      </c>
      <c r="FZ58" t="s">
        <v>119</v>
      </c>
      <c r="GA58" t="s">
        <v>120</v>
      </c>
      <c r="HA58" s="18">
        <v>41443</v>
      </c>
      <c r="HB58" s="18">
        <v>41499</v>
      </c>
      <c r="HC58" s="18">
        <v>41501</v>
      </c>
      <c r="HD58" s="18">
        <v>41527</v>
      </c>
      <c r="HE58">
        <v>0.49</v>
      </c>
      <c r="HF58" t="s">
        <v>119</v>
      </c>
      <c r="HG58" t="s">
        <v>120</v>
      </c>
      <c r="HI58" s="18">
        <v>41430</v>
      </c>
      <c r="HJ58" s="18">
        <v>41438</v>
      </c>
      <c r="HK58" s="18">
        <v>41442</v>
      </c>
      <c r="HL58" s="18">
        <v>41451</v>
      </c>
      <c r="HM58">
        <v>0.28000000000000003</v>
      </c>
      <c r="HN58" t="s">
        <v>119</v>
      </c>
      <c r="HO58" t="s">
        <v>120</v>
      </c>
      <c r="HQ58" s="18">
        <v>41347</v>
      </c>
      <c r="HR58" s="18">
        <v>41457</v>
      </c>
      <c r="HS58" s="18">
        <v>41460</v>
      </c>
      <c r="HT58" s="18">
        <v>41486</v>
      </c>
      <c r="HU58">
        <v>0.38</v>
      </c>
      <c r="HV58" t="s">
        <v>119</v>
      </c>
      <c r="HW58" t="s">
        <v>120</v>
      </c>
      <c r="HY58" s="18">
        <v>41758</v>
      </c>
      <c r="HZ58" s="18">
        <v>41773</v>
      </c>
      <c r="IA58" s="18">
        <v>41775</v>
      </c>
      <c r="IB58" s="18">
        <v>41789</v>
      </c>
      <c r="IC58">
        <v>0.35499999999999998</v>
      </c>
      <c r="ID58" t="s">
        <v>119</v>
      </c>
      <c r="IE58" t="s">
        <v>120</v>
      </c>
      <c r="IG58" s="18">
        <v>41388</v>
      </c>
      <c r="IH58" s="18">
        <v>41403</v>
      </c>
      <c r="II58" s="18">
        <v>41407</v>
      </c>
      <c r="IJ58" s="18">
        <v>41435</v>
      </c>
      <c r="IK58">
        <v>0.63</v>
      </c>
      <c r="IL58" t="s">
        <v>119</v>
      </c>
      <c r="IM58" t="s">
        <v>120</v>
      </c>
    </row>
    <row r="59" spans="1:247" x14ac:dyDescent="0.3">
      <c r="A59" s="18">
        <v>41347</v>
      </c>
      <c r="B59" s="18">
        <v>41348</v>
      </c>
      <c r="C59" s="18">
        <v>41352</v>
      </c>
      <c r="D59" s="18">
        <v>41394</v>
      </c>
      <c r="E59">
        <v>0.69372</v>
      </c>
      <c r="F59" t="s">
        <v>119</v>
      </c>
      <c r="G59" t="s">
        <v>123</v>
      </c>
      <c r="I59" s="18">
        <v>41284</v>
      </c>
      <c r="J59" s="18">
        <v>41537</v>
      </c>
      <c r="K59" s="18">
        <v>41541</v>
      </c>
      <c r="L59" s="18">
        <v>41578</v>
      </c>
      <c r="M59">
        <v>0.23771</v>
      </c>
      <c r="N59" t="s">
        <v>119</v>
      </c>
      <c r="O59" t="s">
        <v>123</v>
      </c>
      <c r="Q59" s="18">
        <v>41445</v>
      </c>
      <c r="R59" s="18">
        <v>41446</v>
      </c>
      <c r="S59" s="18">
        <v>41450</v>
      </c>
      <c r="T59" s="18">
        <v>41456</v>
      </c>
      <c r="U59">
        <v>7.732E-2</v>
      </c>
      <c r="V59" t="s">
        <v>119</v>
      </c>
      <c r="W59" t="s">
        <v>123</v>
      </c>
      <c r="AG59">
        <v>41478</v>
      </c>
      <c r="AH59">
        <v>41494</v>
      </c>
      <c r="AI59">
        <v>41498</v>
      </c>
      <c r="AJ59">
        <v>41501</v>
      </c>
      <c r="AK59">
        <v>0.108929</v>
      </c>
      <c r="AL59" t="s">
        <v>119</v>
      </c>
      <c r="AM59" t="s">
        <v>120</v>
      </c>
      <c r="BM59" s="18">
        <v>41344</v>
      </c>
      <c r="BN59" s="18">
        <v>41408</v>
      </c>
      <c r="BO59" s="18">
        <v>41410</v>
      </c>
      <c r="BP59" s="18">
        <v>41438</v>
      </c>
      <c r="BQ59">
        <v>0.23</v>
      </c>
      <c r="BR59" t="s">
        <v>119</v>
      </c>
      <c r="BS59" t="s">
        <v>120</v>
      </c>
      <c r="CC59" s="18">
        <v>41494</v>
      </c>
      <c r="CD59" s="18">
        <v>41506</v>
      </c>
      <c r="CE59" s="18">
        <v>41508</v>
      </c>
      <c r="CF59" s="18">
        <v>41530</v>
      </c>
      <c r="CG59">
        <v>1.8749999999999999E-3</v>
      </c>
      <c r="CH59" t="s">
        <v>119</v>
      </c>
      <c r="CI59" t="s">
        <v>120</v>
      </c>
      <c r="DI59" s="18">
        <v>41431</v>
      </c>
      <c r="DJ59" s="18">
        <v>41438</v>
      </c>
      <c r="DK59" s="18">
        <v>41442</v>
      </c>
      <c r="DL59" s="18">
        <v>41453</v>
      </c>
      <c r="DM59">
        <v>2.1000000000000001E-2</v>
      </c>
      <c r="DN59" t="s">
        <v>119</v>
      </c>
      <c r="DO59" t="s">
        <v>120</v>
      </c>
      <c r="FU59" s="18">
        <v>41246</v>
      </c>
      <c r="FV59" s="18">
        <v>41255</v>
      </c>
      <c r="FW59" s="18">
        <v>41257</v>
      </c>
      <c r="FX59" s="18">
        <v>41264</v>
      </c>
      <c r="FY59">
        <v>0.06</v>
      </c>
      <c r="FZ59" t="s">
        <v>119</v>
      </c>
      <c r="GA59" t="s">
        <v>120</v>
      </c>
      <c r="HA59" s="18">
        <v>41400</v>
      </c>
      <c r="HB59" s="18">
        <v>41408</v>
      </c>
      <c r="HC59" s="18">
        <v>41410</v>
      </c>
      <c r="HD59" s="18">
        <v>41435</v>
      </c>
      <c r="HE59">
        <v>0.49</v>
      </c>
      <c r="HF59" t="s">
        <v>119</v>
      </c>
      <c r="HG59" t="s">
        <v>120</v>
      </c>
      <c r="HI59" s="18">
        <v>41311</v>
      </c>
      <c r="HJ59" s="18">
        <v>41346</v>
      </c>
      <c r="HK59" s="18">
        <v>41348</v>
      </c>
      <c r="HL59" s="18">
        <v>41359</v>
      </c>
      <c r="HM59">
        <v>0.21249999999999999</v>
      </c>
      <c r="HN59" t="s">
        <v>119</v>
      </c>
      <c r="HO59" t="s">
        <v>120</v>
      </c>
      <c r="HQ59" s="18">
        <v>41347</v>
      </c>
      <c r="HR59" s="18">
        <v>41367</v>
      </c>
      <c r="HS59" s="18">
        <v>41369</v>
      </c>
      <c r="HT59" s="18">
        <v>41394</v>
      </c>
      <c r="HU59">
        <v>0.3</v>
      </c>
      <c r="HV59" t="s">
        <v>119</v>
      </c>
      <c r="HW59" t="s">
        <v>120</v>
      </c>
      <c r="HY59" s="18">
        <v>41669</v>
      </c>
      <c r="HZ59" s="18">
        <v>41682</v>
      </c>
      <c r="IA59" s="18">
        <v>41684</v>
      </c>
      <c r="IB59" s="18">
        <v>41698</v>
      </c>
      <c r="IC59">
        <v>0.31</v>
      </c>
      <c r="ID59" t="s">
        <v>119</v>
      </c>
      <c r="IE59" t="s">
        <v>120</v>
      </c>
      <c r="IG59" s="18">
        <v>41304</v>
      </c>
      <c r="IH59" s="18">
        <v>41312</v>
      </c>
      <c r="II59" s="18">
        <v>41316</v>
      </c>
      <c r="IJ59" s="18">
        <v>41344</v>
      </c>
      <c r="IK59">
        <v>0.56999999999999995</v>
      </c>
      <c r="IL59" t="s">
        <v>119</v>
      </c>
      <c r="IM59" t="s">
        <v>120</v>
      </c>
    </row>
    <row r="60" spans="1:247" x14ac:dyDescent="0.3">
      <c r="A60" s="18">
        <v>41263</v>
      </c>
      <c r="B60" s="18">
        <v>41264</v>
      </c>
      <c r="C60" s="18">
        <v>41269</v>
      </c>
      <c r="D60" s="18">
        <v>41305</v>
      </c>
      <c r="E60">
        <v>1.02183</v>
      </c>
      <c r="F60" t="s">
        <v>119</v>
      </c>
      <c r="G60" t="s">
        <v>123</v>
      </c>
      <c r="I60" s="18">
        <v>41284</v>
      </c>
      <c r="J60" s="18">
        <v>41446</v>
      </c>
      <c r="K60" s="18">
        <v>41450</v>
      </c>
      <c r="L60" s="18">
        <v>41486</v>
      </c>
      <c r="M60">
        <v>0.22361</v>
      </c>
      <c r="N60" t="s">
        <v>119</v>
      </c>
      <c r="O60" t="s">
        <v>123</v>
      </c>
      <c r="Q60" s="18">
        <v>41347</v>
      </c>
      <c r="R60" s="18">
        <v>41348</v>
      </c>
      <c r="S60" s="18">
        <v>41352</v>
      </c>
      <c r="T60" s="18">
        <v>41358</v>
      </c>
      <c r="U60">
        <v>6.2170000000000003E-2</v>
      </c>
      <c r="V60" t="s">
        <v>119</v>
      </c>
      <c r="W60" t="s">
        <v>123</v>
      </c>
      <c r="AG60">
        <v>41387</v>
      </c>
      <c r="AH60">
        <v>41403</v>
      </c>
      <c r="AI60">
        <v>41407</v>
      </c>
      <c r="AJ60">
        <v>41410</v>
      </c>
      <c r="AK60">
        <v>0.108929</v>
      </c>
      <c r="AL60" t="s">
        <v>119</v>
      </c>
      <c r="AM60" t="s">
        <v>120</v>
      </c>
      <c r="BM60" s="18">
        <v>41241</v>
      </c>
      <c r="BN60" s="18">
        <v>41324</v>
      </c>
      <c r="BO60" s="18">
        <v>41326</v>
      </c>
      <c r="BP60" s="18">
        <v>41347</v>
      </c>
      <c r="BQ60">
        <v>0.23</v>
      </c>
      <c r="BR60" t="s">
        <v>119</v>
      </c>
      <c r="BS60" t="s">
        <v>120</v>
      </c>
      <c r="CC60" s="18">
        <v>41403</v>
      </c>
      <c r="CD60" s="18">
        <v>41415</v>
      </c>
      <c r="CE60" s="18">
        <v>41417</v>
      </c>
      <c r="CF60" s="18">
        <v>41439</v>
      </c>
      <c r="CG60">
        <v>1.8749999999999999E-3</v>
      </c>
      <c r="CH60" t="s">
        <v>119</v>
      </c>
      <c r="CI60" t="s">
        <v>120</v>
      </c>
      <c r="DI60" s="18">
        <v>41347</v>
      </c>
      <c r="DJ60" s="18">
        <v>41354</v>
      </c>
      <c r="DK60" s="18">
        <v>41358</v>
      </c>
      <c r="DL60" s="18">
        <v>41368</v>
      </c>
      <c r="DM60">
        <v>1.9E-2</v>
      </c>
      <c r="DN60" t="s">
        <v>119</v>
      </c>
      <c r="DO60" t="s">
        <v>120</v>
      </c>
      <c r="FU60" s="18">
        <v>41246</v>
      </c>
      <c r="FV60" s="18">
        <v>41255</v>
      </c>
      <c r="FW60" s="18">
        <v>41257</v>
      </c>
      <c r="FX60" s="18">
        <v>41264</v>
      </c>
      <c r="FY60">
        <v>0.06</v>
      </c>
      <c r="FZ60" t="s">
        <v>119</v>
      </c>
      <c r="GA60" t="s">
        <v>120</v>
      </c>
      <c r="HA60" s="18">
        <v>41260</v>
      </c>
      <c r="HB60" s="18">
        <v>41318</v>
      </c>
      <c r="HC60" s="18">
        <v>41320</v>
      </c>
      <c r="HD60" s="18">
        <v>41341</v>
      </c>
      <c r="HE60">
        <v>0.49</v>
      </c>
      <c r="HF60" t="s">
        <v>119</v>
      </c>
      <c r="HG60" t="s">
        <v>120</v>
      </c>
      <c r="HI60" s="18">
        <v>41212</v>
      </c>
      <c r="HJ60" s="18">
        <v>41250</v>
      </c>
      <c r="HK60" s="18">
        <v>41254</v>
      </c>
      <c r="HL60" s="18">
        <v>41264</v>
      </c>
      <c r="HM60">
        <v>0.21249999999999999</v>
      </c>
      <c r="HN60" t="s">
        <v>119</v>
      </c>
      <c r="HO60" t="s">
        <v>120</v>
      </c>
      <c r="HQ60" s="18">
        <v>41254</v>
      </c>
      <c r="HR60" s="18">
        <v>41276</v>
      </c>
      <c r="HS60" s="18">
        <v>41278</v>
      </c>
      <c r="HT60" s="18">
        <v>41305</v>
      </c>
      <c r="HU60">
        <v>0.3</v>
      </c>
      <c r="HV60" t="s">
        <v>119</v>
      </c>
      <c r="HW60" t="s">
        <v>120</v>
      </c>
      <c r="HY60" s="18">
        <v>41576</v>
      </c>
      <c r="HZ60" s="18">
        <v>41591</v>
      </c>
      <c r="IA60" s="18">
        <v>41593</v>
      </c>
      <c r="IB60" s="18">
        <v>41607</v>
      </c>
      <c r="IC60">
        <v>0.31</v>
      </c>
      <c r="ID60" t="s">
        <v>119</v>
      </c>
      <c r="IE60" t="s">
        <v>120</v>
      </c>
      <c r="IG60" s="18">
        <v>41213</v>
      </c>
      <c r="IH60" s="18">
        <v>41220</v>
      </c>
      <c r="II60" s="18">
        <v>41222</v>
      </c>
      <c r="IJ60" s="18">
        <v>41253</v>
      </c>
      <c r="IK60">
        <v>0.56999999999999995</v>
      </c>
      <c r="IL60" t="s">
        <v>119</v>
      </c>
      <c r="IM60" t="s">
        <v>120</v>
      </c>
    </row>
    <row r="61" spans="1:247" x14ac:dyDescent="0.3">
      <c r="A61" s="18">
        <v>41172</v>
      </c>
      <c r="B61" s="18">
        <v>41173</v>
      </c>
      <c r="C61" s="18">
        <v>41177</v>
      </c>
      <c r="D61" s="18">
        <v>41213</v>
      </c>
      <c r="E61">
        <v>0.77944999999999998</v>
      </c>
      <c r="F61" t="s">
        <v>119</v>
      </c>
      <c r="G61" t="s">
        <v>123</v>
      </c>
      <c r="I61" s="18">
        <v>41284</v>
      </c>
      <c r="J61" s="18">
        <v>41348</v>
      </c>
      <c r="K61" s="18">
        <v>41352</v>
      </c>
      <c r="L61" s="18">
        <v>41394</v>
      </c>
      <c r="M61">
        <v>0.15931000000000001</v>
      </c>
      <c r="N61" t="s">
        <v>119</v>
      </c>
      <c r="O61" t="s">
        <v>123</v>
      </c>
      <c r="Q61" s="18">
        <v>41263</v>
      </c>
      <c r="R61" s="18">
        <v>41264</v>
      </c>
      <c r="S61" s="18">
        <v>41269</v>
      </c>
      <c r="T61" s="18">
        <v>41277</v>
      </c>
      <c r="U61">
        <v>8.3815000000000001E-2</v>
      </c>
      <c r="V61" t="s">
        <v>119</v>
      </c>
      <c r="W61" t="s">
        <v>123</v>
      </c>
      <c r="AG61">
        <v>41297</v>
      </c>
      <c r="AH61">
        <v>41312</v>
      </c>
      <c r="AI61">
        <v>41316</v>
      </c>
      <c r="AJ61">
        <v>41319</v>
      </c>
      <c r="AK61">
        <v>9.4643000000000005E-2</v>
      </c>
      <c r="AL61" t="s">
        <v>119</v>
      </c>
      <c r="AM61" t="s">
        <v>120</v>
      </c>
      <c r="BM61" s="18">
        <v>41170</v>
      </c>
      <c r="BN61" s="18">
        <v>41226</v>
      </c>
      <c r="BO61" s="18">
        <v>41228</v>
      </c>
      <c r="BP61" s="18">
        <v>41256</v>
      </c>
      <c r="BQ61">
        <v>0.23</v>
      </c>
      <c r="BR61" t="s">
        <v>119</v>
      </c>
      <c r="BS61" t="s">
        <v>120</v>
      </c>
      <c r="CC61" s="18">
        <v>41318</v>
      </c>
      <c r="CD61" s="18">
        <v>41331</v>
      </c>
      <c r="CE61" s="18">
        <v>41333</v>
      </c>
      <c r="CF61" s="18">
        <v>41354</v>
      </c>
      <c r="CG61">
        <v>1.8749999999999999E-3</v>
      </c>
      <c r="CH61" t="s">
        <v>119</v>
      </c>
      <c r="CI61" t="s">
        <v>120</v>
      </c>
      <c r="DI61" s="18">
        <v>41249</v>
      </c>
      <c r="DJ61" s="18">
        <v>41256</v>
      </c>
      <c r="DK61" s="18">
        <v>41260</v>
      </c>
      <c r="DL61" s="18">
        <v>41271</v>
      </c>
      <c r="DM61">
        <v>1.7000000000000001E-2</v>
      </c>
      <c r="DN61" t="s">
        <v>119</v>
      </c>
      <c r="DO61" t="s">
        <v>120</v>
      </c>
      <c r="FU61" s="18">
        <v>41246</v>
      </c>
      <c r="FV61" s="18">
        <v>41255</v>
      </c>
      <c r="FW61" s="18">
        <v>41257</v>
      </c>
      <c r="FX61" s="18">
        <v>41264</v>
      </c>
      <c r="FY61">
        <v>0.06</v>
      </c>
      <c r="FZ61" t="s">
        <v>119</v>
      </c>
      <c r="GA61" t="s">
        <v>120</v>
      </c>
      <c r="HA61" s="18">
        <v>41197</v>
      </c>
      <c r="HB61" s="18">
        <v>41226</v>
      </c>
      <c r="HC61" s="18">
        <v>41228</v>
      </c>
      <c r="HD61" s="18">
        <v>41253</v>
      </c>
      <c r="HE61">
        <v>0.49</v>
      </c>
      <c r="HF61" t="s">
        <v>119</v>
      </c>
      <c r="HG61" t="s">
        <v>120</v>
      </c>
      <c r="HI61" s="18">
        <v>41129</v>
      </c>
      <c r="HJ61" s="18">
        <v>41164</v>
      </c>
      <c r="HK61" s="18">
        <v>41166</v>
      </c>
      <c r="HL61" s="18">
        <v>41173</v>
      </c>
      <c r="HM61">
        <v>0.21249999999999999</v>
      </c>
      <c r="HN61" t="s">
        <v>119</v>
      </c>
      <c r="HO61" t="s">
        <v>120</v>
      </c>
      <c r="HQ61" s="18">
        <v>41170</v>
      </c>
      <c r="HR61" s="18">
        <v>41185</v>
      </c>
      <c r="HS61" s="18">
        <v>41187</v>
      </c>
      <c r="HT61" s="18">
        <v>41213</v>
      </c>
      <c r="HU61">
        <v>0.3</v>
      </c>
      <c r="HV61" t="s">
        <v>119</v>
      </c>
      <c r="HW61" t="s">
        <v>120</v>
      </c>
      <c r="HY61" s="18">
        <v>41477</v>
      </c>
      <c r="HZ61" s="18">
        <v>41493</v>
      </c>
      <c r="IA61" s="18">
        <v>41495</v>
      </c>
      <c r="IB61" s="18">
        <v>41509</v>
      </c>
      <c r="IC61">
        <v>0.31</v>
      </c>
      <c r="ID61" t="s">
        <v>119</v>
      </c>
      <c r="IE61" t="s">
        <v>120</v>
      </c>
      <c r="IG61" s="18">
        <v>41115</v>
      </c>
      <c r="IH61" s="18">
        <v>41130</v>
      </c>
      <c r="II61" s="18">
        <v>41134</v>
      </c>
      <c r="IJ61" s="18">
        <v>41162</v>
      </c>
      <c r="IK61">
        <v>0.56999999999999995</v>
      </c>
      <c r="IL61" t="s">
        <v>119</v>
      </c>
      <c r="IM61" t="s">
        <v>120</v>
      </c>
    </row>
    <row r="62" spans="1:247" x14ac:dyDescent="0.3">
      <c r="A62" s="18">
        <v>41074</v>
      </c>
      <c r="B62" s="18">
        <v>41075</v>
      </c>
      <c r="C62" s="18">
        <v>41079</v>
      </c>
      <c r="D62" s="18">
        <v>41121</v>
      </c>
      <c r="E62">
        <v>0.68825999999999998</v>
      </c>
      <c r="F62" t="s">
        <v>119</v>
      </c>
      <c r="G62" t="s">
        <v>123</v>
      </c>
      <c r="I62" s="18">
        <v>41263</v>
      </c>
      <c r="J62" s="18">
        <v>41264</v>
      </c>
      <c r="K62" s="18">
        <v>41269</v>
      </c>
      <c r="L62" s="18">
        <v>41274</v>
      </c>
      <c r="M62">
        <v>0.36663000000000001</v>
      </c>
      <c r="N62" t="s">
        <v>119</v>
      </c>
      <c r="O62" t="s">
        <v>123</v>
      </c>
      <c r="Q62" s="18">
        <v>41172</v>
      </c>
      <c r="R62" s="18">
        <v>41173</v>
      </c>
      <c r="S62" s="18">
        <v>41177</v>
      </c>
      <c r="T62" s="18">
        <v>41185</v>
      </c>
      <c r="U62">
        <v>6.4979999999999996E-2</v>
      </c>
      <c r="V62" t="s">
        <v>119</v>
      </c>
      <c r="W62" t="s">
        <v>123</v>
      </c>
      <c r="AG62">
        <v>41207</v>
      </c>
      <c r="AH62">
        <v>41220</v>
      </c>
      <c r="AI62">
        <v>41225</v>
      </c>
      <c r="AJ62">
        <v>41228</v>
      </c>
      <c r="AK62">
        <v>9.4643000000000005E-2</v>
      </c>
      <c r="AL62" t="s">
        <v>119</v>
      </c>
      <c r="AM62" t="s">
        <v>120</v>
      </c>
      <c r="BM62" s="18">
        <v>41073</v>
      </c>
      <c r="BN62" s="18">
        <v>41135</v>
      </c>
      <c r="BO62" s="18">
        <v>41137</v>
      </c>
      <c r="BP62" s="18">
        <v>41165</v>
      </c>
      <c r="BQ62">
        <v>0.2</v>
      </c>
      <c r="BR62" t="s">
        <v>119</v>
      </c>
      <c r="BS62" t="s">
        <v>120</v>
      </c>
      <c r="CC62" s="18">
        <v>41221</v>
      </c>
      <c r="CD62" s="18">
        <v>41233</v>
      </c>
      <c r="CE62" s="18">
        <v>41236</v>
      </c>
      <c r="CF62" s="18">
        <v>41257</v>
      </c>
      <c r="CG62">
        <v>1.8749999999999999E-3</v>
      </c>
      <c r="CH62" t="s">
        <v>119</v>
      </c>
      <c r="CI62" t="s">
        <v>120</v>
      </c>
      <c r="DI62" s="18">
        <v>41151</v>
      </c>
      <c r="DJ62" s="18">
        <v>41170</v>
      </c>
      <c r="DK62" s="18">
        <v>41172</v>
      </c>
      <c r="DL62" s="18">
        <v>41183</v>
      </c>
      <c r="DM62">
        <v>1.6E-2</v>
      </c>
      <c r="DN62" t="s">
        <v>119</v>
      </c>
      <c r="DO62" t="s">
        <v>120</v>
      </c>
      <c r="FU62" s="18">
        <v>41172</v>
      </c>
      <c r="FV62" s="18">
        <v>41192</v>
      </c>
      <c r="FW62" s="18">
        <v>41194</v>
      </c>
      <c r="FX62" s="18">
        <v>41215</v>
      </c>
      <c r="FY62">
        <v>0.06</v>
      </c>
      <c r="FZ62" t="s">
        <v>119</v>
      </c>
      <c r="GA62" t="s">
        <v>120</v>
      </c>
      <c r="HA62" s="18">
        <v>41079</v>
      </c>
      <c r="HB62" s="18">
        <v>41134</v>
      </c>
      <c r="HC62" s="18">
        <v>41136</v>
      </c>
      <c r="HD62" s="18">
        <v>41162</v>
      </c>
      <c r="HE62">
        <v>0.49</v>
      </c>
      <c r="HF62" t="s">
        <v>119</v>
      </c>
      <c r="HG62" t="s">
        <v>120</v>
      </c>
      <c r="HI62" s="18">
        <v>41066</v>
      </c>
      <c r="HJ62" s="18">
        <v>41073</v>
      </c>
      <c r="HK62" s="18">
        <v>41075</v>
      </c>
      <c r="HL62" s="18">
        <v>41082</v>
      </c>
      <c r="HM62">
        <v>0.21249999999999999</v>
      </c>
      <c r="HN62" t="s">
        <v>119</v>
      </c>
      <c r="HO62" t="s">
        <v>120</v>
      </c>
      <c r="HQ62" s="18">
        <v>41044</v>
      </c>
      <c r="HR62" s="18">
        <v>41093</v>
      </c>
      <c r="HS62" s="18">
        <v>41096</v>
      </c>
      <c r="HT62" s="18">
        <v>41121</v>
      </c>
      <c r="HU62">
        <v>0.3</v>
      </c>
      <c r="HV62" t="s">
        <v>119</v>
      </c>
      <c r="HW62" t="s">
        <v>120</v>
      </c>
      <c r="HY62" s="18">
        <v>41394</v>
      </c>
      <c r="HZ62" s="18">
        <v>41409</v>
      </c>
      <c r="IA62" s="18">
        <v>41411</v>
      </c>
      <c r="IB62" s="18">
        <v>41425</v>
      </c>
      <c r="IC62">
        <v>0.31</v>
      </c>
      <c r="ID62" t="s">
        <v>119</v>
      </c>
      <c r="IE62" t="s">
        <v>120</v>
      </c>
      <c r="IG62" s="18">
        <v>41024</v>
      </c>
      <c r="IH62" s="18">
        <v>41039</v>
      </c>
      <c r="II62" s="18">
        <v>41043</v>
      </c>
      <c r="IJ62" s="18">
        <v>41071</v>
      </c>
      <c r="IK62">
        <v>0.56999999999999995</v>
      </c>
      <c r="IL62" t="s">
        <v>119</v>
      </c>
      <c r="IM62" t="s">
        <v>120</v>
      </c>
    </row>
    <row r="63" spans="1:247" x14ac:dyDescent="0.3">
      <c r="A63" s="18">
        <v>40983</v>
      </c>
      <c r="B63" s="18">
        <v>40984</v>
      </c>
      <c r="C63" s="18">
        <v>40988</v>
      </c>
      <c r="D63" s="18">
        <v>41029</v>
      </c>
      <c r="E63">
        <v>0.61389000000000005</v>
      </c>
      <c r="F63" t="s">
        <v>119</v>
      </c>
      <c r="G63" t="s">
        <v>123</v>
      </c>
      <c r="I63" s="18">
        <v>41172</v>
      </c>
      <c r="J63" s="18">
        <v>41173</v>
      </c>
      <c r="K63" s="18">
        <v>41177</v>
      </c>
      <c r="L63" s="18">
        <v>41213</v>
      </c>
      <c r="M63">
        <v>0.20019999999999999</v>
      </c>
      <c r="N63" t="s">
        <v>119</v>
      </c>
      <c r="O63" t="s">
        <v>123</v>
      </c>
      <c r="Q63" s="18">
        <v>41074</v>
      </c>
      <c r="R63" s="18">
        <v>41075</v>
      </c>
      <c r="S63" s="18">
        <v>41079</v>
      </c>
      <c r="T63" s="18">
        <v>41087</v>
      </c>
      <c r="U63">
        <v>5.4285E-2</v>
      </c>
      <c r="V63" t="s">
        <v>119</v>
      </c>
      <c r="W63" t="s">
        <v>123</v>
      </c>
      <c r="AG63">
        <v>41114</v>
      </c>
      <c r="AH63">
        <v>41130</v>
      </c>
      <c r="AI63">
        <v>41134</v>
      </c>
      <c r="AJ63">
        <v>41137</v>
      </c>
      <c r="AK63">
        <v>9.4643000000000005E-2</v>
      </c>
      <c r="AL63" t="s">
        <v>119</v>
      </c>
      <c r="AM63" t="s">
        <v>120</v>
      </c>
      <c r="BM63" s="18">
        <v>40981</v>
      </c>
      <c r="BN63" s="18">
        <v>41044</v>
      </c>
      <c r="BO63" s="18">
        <v>41046</v>
      </c>
      <c r="BP63" s="18">
        <v>41074</v>
      </c>
      <c r="BQ63">
        <v>0.2</v>
      </c>
      <c r="BR63" t="s">
        <v>119</v>
      </c>
      <c r="BS63" t="s">
        <v>120</v>
      </c>
      <c r="DI63" s="18">
        <v>41067</v>
      </c>
      <c r="DJ63" s="18">
        <v>41074</v>
      </c>
      <c r="DK63" s="18">
        <v>41078</v>
      </c>
      <c r="DL63" s="18">
        <v>41089</v>
      </c>
      <c r="DM63">
        <v>1.4999999999999999E-2</v>
      </c>
      <c r="DN63" t="s">
        <v>119</v>
      </c>
      <c r="DO63" t="s">
        <v>120</v>
      </c>
      <c r="FU63" s="18">
        <v>41078</v>
      </c>
      <c r="FV63" s="18">
        <v>41101</v>
      </c>
      <c r="FW63" s="18">
        <v>41103</v>
      </c>
      <c r="FX63" s="18">
        <v>41124</v>
      </c>
      <c r="FY63">
        <v>0.06</v>
      </c>
      <c r="FZ63" t="s">
        <v>119</v>
      </c>
      <c r="GA63" t="s">
        <v>120</v>
      </c>
      <c r="HA63" s="18">
        <v>41015</v>
      </c>
      <c r="HB63" s="18">
        <v>41040</v>
      </c>
      <c r="HC63" s="18">
        <v>41044</v>
      </c>
      <c r="HD63" s="18">
        <v>41068</v>
      </c>
      <c r="HE63">
        <v>0.49</v>
      </c>
      <c r="HF63" t="s">
        <v>119</v>
      </c>
      <c r="HG63" t="s">
        <v>120</v>
      </c>
      <c r="HI63" s="18">
        <v>40948</v>
      </c>
      <c r="HJ63" s="18">
        <v>40969</v>
      </c>
      <c r="HK63" s="18">
        <v>40973</v>
      </c>
      <c r="HL63" s="18">
        <v>40987</v>
      </c>
      <c r="HM63">
        <v>0.16250000000000001</v>
      </c>
      <c r="HN63" t="s">
        <v>119</v>
      </c>
      <c r="HO63" t="s">
        <v>120</v>
      </c>
      <c r="HQ63" s="18">
        <v>40981</v>
      </c>
      <c r="HR63" s="18">
        <v>41002</v>
      </c>
      <c r="HS63" s="18">
        <v>41004</v>
      </c>
      <c r="HT63" s="18">
        <v>41029</v>
      </c>
      <c r="HU63">
        <v>0.3</v>
      </c>
      <c r="HV63" t="s">
        <v>119</v>
      </c>
      <c r="HW63" t="s">
        <v>120</v>
      </c>
      <c r="HY63" s="18">
        <v>41298</v>
      </c>
      <c r="HZ63" s="18">
        <v>41311</v>
      </c>
      <c r="IA63" s="18">
        <v>41313</v>
      </c>
      <c r="IB63" s="18">
        <v>41327</v>
      </c>
      <c r="IC63">
        <v>0.27500000000000002</v>
      </c>
      <c r="ID63" t="s">
        <v>119</v>
      </c>
      <c r="IE63" t="s">
        <v>120</v>
      </c>
      <c r="IG63" s="18">
        <v>40933</v>
      </c>
      <c r="IH63" s="18">
        <v>40947</v>
      </c>
      <c r="II63" s="18">
        <v>40949</v>
      </c>
      <c r="IJ63" s="18">
        <v>40977</v>
      </c>
      <c r="IK63">
        <v>0.47</v>
      </c>
      <c r="IL63" t="s">
        <v>119</v>
      </c>
      <c r="IM63" t="s">
        <v>120</v>
      </c>
    </row>
    <row r="64" spans="1:247" x14ac:dyDescent="0.3">
      <c r="A64" s="18">
        <v>40892</v>
      </c>
      <c r="B64" s="18">
        <v>40893</v>
      </c>
      <c r="C64" s="18">
        <v>40897</v>
      </c>
      <c r="D64" s="18">
        <v>40939</v>
      </c>
      <c r="E64">
        <v>0.77012999999999998</v>
      </c>
      <c r="F64" t="s">
        <v>119</v>
      </c>
      <c r="G64" t="s">
        <v>123</v>
      </c>
      <c r="I64" s="18">
        <v>41074</v>
      </c>
      <c r="J64" s="18">
        <v>41075</v>
      </c>
      <c r="K64" s="18">
        <v>41079</v>
      </c>
      <c r="L64" s="18">
        <v>41121</v>
      </c>
      <c r="M64">
        <v>0.14312</v>
      </c>
      <c r="N64" t="s">
        <v>119</v>
      </c>
      <c r="O64" t="s">
        <v>123</v>
      </c>
      <c r="Q64" s="18">
        <v>40983</v>
      </c>
      <c r="R64" s="18">
        <v>40984</v>
      </c>
      <c r="S64" s="18">
        <v>40988</v>
      </c>
      <c r="T64" s="18">
        <v>40996</v>
      </c>
      <c r="U64">
        <v>4.82E-2</v>
      </c>
      <c r="V64" t="s">
        <v>119</v>
      </c>
      <c r="W64" t="s">
        <v>123</v>
      </c>
      <c r="BM64" s="18">
        <v>40891</v>
      </c>
      <c r="BN64" s="18">
        <v>40953</v>
      </c>
      <c r="BO64" s="18">
        <v>40955</v>
      </c>
      <c r="BP64" s="18">
        <v>40976</v>
      </c>
      <c r="BQ64">
        <v>0.2</v>
      </c>
      <c r="BR64" t="s">
        <v>119</v>
      </c>
      <c r="BS64" t="s">
        <v>120</v>
      </c>
      <c r="DI64" s="18">
        <v>40976</v>
      </c>
      <c r="DJ64" s="18">
        <v>40983</v>
      </c>
      <c r="DK64" s="18">
        <v>40987</v>
      </c>
      <c r="DL64" s="18">
        <v>40998</v>
      </c>
      <c r="DM64">
        <v>1.2999999999999999E-2</v>
      </c>
      <c r="DN64" t="s">
        <v>119</v>
      </c>
      <c r="DO64" t="s">
        <v>120</v>
      </c>
      <c r="FU64" s="18">
        <v>40988</v>
      </c>
      <c r="FV64" s="18">
        <v>41008</v>
      </c>
      <c r="FW64" s="18">
        <v>41010</v>
      </c>
      <c r="FX64" s="18">
        <v>41031</v>
      </c>
      <c r="FY64">
        <v>0.06</v>
      </c>
      <c r="FZ64" t="s">
        <v>119</v>
      </c>
      <c r="GA64" t="s">
        <v>120</v>
      </c>
      <c r="HA64" s="18">
        <v>40889</v>
      </c>
      <c r="HB64" s="18">
        <v>40952</v>
      </c>
      <c r="HC64" s="18">
        <v>40954</v>
      </c>
      <c r="HD64" s="18">
        <v>40977</v>
      </c>
      <c r="HE64">
        <v>0.49</v>
      </c>
      <c r="HF64" t="s">
        <v>119</v>
      </c>
      <c r="HG64" t="s">
        <v>120</v>
      </c>
      <c r="HI64" s="18">
        <v>40851</v>
      </c>
      <c r="HJ64" s="18">
        <v>40882</v>
      </c>
      <c r="HK64" s="18">
        <v>40884</v>
      </c>
      <c r="HL64" s="18">
        <v>40898</v>
      </c>
      <c r="HM64">
        <v>0.16250000000000001</v>
      </c>
      <c r="HN64" t="s">
        <v>119</v>
      </c>
      <c r="HO64" t="s">
        <v>120</v>
      </c>
      <c r="HQ64" s="18">
        <v>40890</v>
      </c>
      <c r="HR64" s="18">
        <v>40912</v>
      </c>
      <c r="HS64" s="18">
        <v>40914</v>
      </c>
      <c r="HT64" s="18">
        <v>40939</v>
      </c>
      <c r="HU64">
        <v>0.25</v>
      </c>
      <c r="HV64" t="s">
        <v>119</v>
      </c>
      <c r="HW64" t="s">
        <v>120</v>
      </c>
      <c r="HY64" s="18">
        <v>41241</v>
      </c>
      <c r="HZ64" s="18">
        <v>41249</v>
      </c>
      <c r="IA64" s="18">
        <v>41253</v>
      </c>
      <c r="IB64" s="18">
        <v>41261</v>
      </c>
      <c r="IC64">
        <v>7</v>
      </c>
      <c r="ID64" t="s">
        <v>121</v>
      </c>
      <c r="IE64" t="s">
        <v>124</v>
      </c>
      <c r="IG64" s="18">
        <v>40842</v>
      </c>
      <c r="IH64" s="18">
        <v>40855</v>
      </c>
      <c r="II64" s="18">
        <v>40857</v>
      </c>
      <c r="IJ64" s="18">
        <v>40886</v>
      </c>
      <c r="IK64">
        <v>0.47</v>
      </c>
      <c r="IL64" t="s">
        <v>119</v>
      </c>
      <c r="IM64" t="s">
        <v>120</v>
      </c>
    </row>
    <row r="65" spans="1:247" x14ac:dyDescent="0.3">
      <c r="A65" s="18">
        <v>40801</v>
      </c>
      <c r="B65" s="18">
        <v>40802</v>
      </c>
      <c r="C65" s="18">
        <v>40806</v>
      </c>
      <c r="D65" s="18">
        <v>40847</v>
      </c>
      <c r="E65">
        <v>0.62495000000000001</v>
      </c>
      <c r="F65" t="s">
        <v>119</v>
      </c>
      <c r="G65" t="s">
        <v>123</v>
      </c>
      <c r="I65" s="18">
        <v>40983</v>
      </c>
      <c r="J65" s="18">
        <v>40984</v>
      </c>
      <c r="K65" s="18">
        <v>40988</v>
      </c>
      <c r="L65" s="18">
        <v>41029</v>
      </c>
      <c r="M65">
        <v>0.11283</v>
      </c>
      <c r="N65" t="s">
        <v>119</v>
      </c>
      <c r="O65" t="s">
        <v>123</v>
      </c>
      <c r="Q65" s="18">
        <v>40892</v>
      </c>
      <c r="R65" s="18">
        <v>40893</v>
      </c>
      <c r="S65" s="18">
        <v>40897</v>
      </c>
      <c r="T65" s="18">
        <v>40905</v>
      </c>
      <c r="U65">
        <v>5.4614999999999997E-2</v>
      </c>
      <c r="V65" t="s">
        <v>119</v>
      </c>
      <c r="W65" t="s">
        <v>123</v>
      </c>
      <c r="BM65" s="18">
        <v>40806</v>
      </c>
      <c r="BN65" s="18">
        <v>40862</v>
      </c>
      <c r="BO65" s="18">
        <v>40864</v>
      </c>
      <c r="BP65" s="18">
        <v>40885</v>
      </c>
      <c r="BQ65">
        <v>0.2</v>
      </c>
      <c r="BR65" t="s">
        <v>119</v>
      </c>
      <c r="BS65" t="s">
        <v>120</v>
      </c>
      <c r="DI65" s="18">
        <v>40886</v>
      </c>
      <c r="DJ65" s="18">
        <v>40892</v>
      </c>
      <c r="DK65" s="18">
        <v>40896</v>
      </c>
      <c r="DL65" s="18">
        <v>40907</v>
      </c>
      <c r="DM65">
        <v>1.2E-2</v>
      </c>
      <c r="DN65" t="s">
        <v>119</v>
      </c>
      <c r="DO65" t="s">
        <v>120</v>
      </c>
      <c r="FU65" s="18">
        <v>40897</v>
      </c>
      <c r="FV65" s="18">
        <v>40917</v>
      </c>
      <c r="FW65" s="18">
        <v>40919</v>
      </c>
      <c r="FX65" s="18">
        <v>40940</v>
      </c>
      <c r="FY65">
        <v>0.06</v>
      </c>
      <c r="FZ65" t="s">
        <v>119</v>
      </c>
      <c r="GA65" t="s">
        <v>120</v>
      </c>
      <c r="HA65" s="18">
        <v>40833</v>
      </c>
      <c r="HB65" s="18">
        <v>40857</v>
      </c>
      <c r="HC65" s="18">
        <v>40862</v>
      </c>
      <c r="HD65" s="18">
        <v>40886</v>
      </c>
      <c r="HE65">
        <v>0.49</v>
      </c>
      <c r="HF65" t="s">
        <v>119</v>
      </c>
      <c r="HG65" t="s">
        <v>120</v>
      </c>
      <c r="HI65" s="18">
        <v>40758</v>
      </c>
      <c r="HJ65" s="18">
        <v>40788</v>
      </c>
      <c r="HK65" s="18">
        <v>40793</v>
      </c>
      <c r="HL65" s="18">
        <v>40807</v>
      </c>
      <c r="HM65">
        <v>0.16250000000000001</v>
      </c>
      <c r="HN65" t="s">
        <v>119</v>
      </c>
      <c r="HO65" t="s">
        <v>120</v>
      </c>
      <c r="HQ65" s="18">
        <v>40806</v>
      </c>
      <c r="HR65" s="18">
        <v>40820</v>
      </c>
      <c r="HS65" s="18">
        <v>40822</v>
      </c>
      <c r="HT65" s="18">
        <v>40847</v>
      </c>
      <c r="HU65">
        <v>0.25</v>
      </c>
      <c r="HV65" t="s">
        <v>119</v>
      </c>
      <c r="HW65" t="s">
        <v>120</v>
      </c>
      <c r="HY65" s="18">
        <v>41212</v>
      </c>
      <c r="HZ65" s="18">
        <v>41227</v>
      </c>
      <c r="IA65" s="18">
        <v>41229</v>
      </c>
      <c r="IB65" s="18">
        <v>41243</v>
      </c>
      <c r="IC65">
        <v>0.27500000000000002</v>
      </c>
      <c r="ID65" t="s">
        <v>119</v>
      </c>
      <c r="IE65" t="s">
        <v>120</v>
      </c>
      <c r="IG65" s="18">
        <v>40751</v>
      </c>
      <c r="IH65" s="18">
        <v>40765</v>
      </c>
      <c r="II65" s="18">
        <v>40767</v>
      </c>
      <c r="IJ65" s="18">
        <v>40795</v>
      </c>
      <c r="IK65">
        <v>0.47</v>
      </c>
      <c r="IL65" t="s">
        <v>119</v>
      </c>
      <c r="IM65" t="s">
        <v>120</v>
      </c>
    </row>
    <row r="66" spans="1:247" x14ac:dyDescent="0.3">
      <c r="A66" s="18">
        <v>40710</v>
      </c>
      <c r="B66" s="18">
        <v>40711</v>
      </c>
      <c r="C66" s="18">
        <v>40715</v>
      </c>
      <c r="D66" s="18">
        <v>40753</v>
      </c>
      <c r="E66">
        <v>0.62761999999999996</v>
      </c>
      <c r="F66" t="s">
        <v>119</v>
      </c>
      <c r="G66" t="s">
        <v>123</v>
      </c>
      <c r="I66" s="18">
        <v>40554</v>
      </c>
      <c r="J66" s="18">
        <v>40893</v>
      </c>
      <c r="K66" s="18">
        <v>40897</v>
      </c>
      <c r="L66" s="18">
        <v>40907</v>
      </c>
      <c r="M66">
        <v>0.16052</v>
      </c>
      <c r="N66" t="s">
        <v>119</v>
      </c>
      <c r="O66" t="s">
        <v>123</v>
      </c>
      <c r="Q66" s="18">
        <v>40801</v>
      </c>
      <c r="R66" s="18">
        <v>40802</v>
      </c>
      <c r="S66" s="18">
        <v>40806</v>
      </c>
      <c r="T66" s="18">
        <v>40814</v>
      </c>
      <c r="U66">
        <v>4.675E-2</v>
      </c>
      <c r="V66" t="s">
        <v>119</v>
      </c>
      <c r="W66" t="s">
        <v>123</v>
      </c>
      <c r="BM66" s="18">
        <v>40709</v>
      </c>
      <c r="BN66" s="18">
        <v>40771</v>
      </c>
      <c r="BO66" s="18">
        <v>40773</v>
      </c>
      <c r="BP66" s="18">
        <v>40794</v>
      </c>
      <c r="BQ66">
        <v>0.16</v>
      </c>
      <c r="BR66" t="s">
        <v>119</v>
      </c>
      <c r="BS66" t="s">
        <v>120</v>
      </c>
      <c r="DI66" s="18">
        <v>40794</v>
      </c>
      <c r="DJ66" s="18">
        <v>40801</v>
      </c>
      <c r="DK66" s="18">
        <v>40805</v>
      </c>
      <c r="DL66" s="18">
        <v>40816</v>
      </c>
      <c r="DM66">
        <v>1.0999999999999999E-2</v>
      </c>
      <c r="DN66" t="s">
        <v>119</v>
      </c>
      <c r="DO66" t="s">
        <v>120</v>
      </c>
      <c r="FU66" s="18">
        <v>40806</v>
      </c>
      <c r="FV66" s="18">
        <v>40823</v>
      </c>
      <c r="FW66" s="18">
        <v>40828</v>
      </c>
      <c r="FX66" s="18">
        <v>40849</v>
      </c>
      <c r="FY66">
        <v>0.06</v>
      </c>
      <c r="FZ66" t="s">
        <v>119</v>
      </c>
      <c r="GA66" t="s">
        <v>120</v>
      </c>
      <c r="HA66" s="18">
        <v>40714</v>
      </c>
      <c r="HB66" s="18">
        <v>40766</v>
      </c>
      <c r="HC66" s="18">
        <v>40770</v>
      </c>
      <c r="HD66" s="18">
        <v>40795</v>
      </c>
      <c r="HE66">
        <v>0.49</v>
      </c>
      <c r="HF66" t="s">
        <v>119</v>
      </c>
      <c r="HG66" t="s">
        <v>120</v>
      </c>
      <c r="HI66" s="18">
        <v>40688</v>
      </c>
      <c r="HJ66" s="18">
        <v>40697</v>
      </c>
      <c r="HK66" s="18">
        <v>40701</v>
      </c>
      <c r="HL66" s="18">
        <v>40715</v>
      </c>
      <c r="HM66">
        <v>0.16250000000000001</v>
      </c>
      <c r="HN66" t="s">
        <v>119</v>
      </c>
      <c r="HO66" t="s">
        <v>120</v>
      </c>
      <c r="HQ66" s="18">
        <v>40680</v>
      </c>
      <c r="HR66" s="18">
        <v>40725</v>
      </c>
      <c r="HS66" s="18">
        <v>40730</v>
      </c>
      <c r="HT66" s="18">
        <v>40755</v>
      </c>
      <c r="HU66">
        <v>0.25</v>
      </c>
      <c r="HV66" t="s">
        <v>119</v>
      </c>
      <c r="HW66" t="s">
        <v>120</v>
      </c>
      <c r="HY66" s="18">
        <v>41113</v>
      </c>
      <c r="HZ66" s="18">
        <v>41129</v>
      </c>
      <c r="IA66" s="18">
        <v>41131</v>
      </c>
      <c r="IB66" s="18">
        <v>41145</v>
      </c>
      <c r="IC66">
        <v>0.27500000000000002</v>
      </c>
      <c r="ID66" t="s">
        <v>119</v>
      </c>
      <c r="IE66" t="s">
        <v>120</v>
      </c>
      <c r="IG66" s="18">
        <v>40660</v>
      </c>
      <c r="IH66" s="18">
        <v>40674</v>
      </c>
      <c r="II66" s="18">
        <v>40676</v>
      </c>
      <c r="IJ66" s="18">
        <v>40704</v>
      </c>
      <c r="IK66">
        <v>0.47</v>
      </c>
      <c r="IL66" t="s">
        <v>119</v>
      </c>
      <c r="IM66" t="s">
        <v>120</v>
      </c>
    </row>
    <row r="67" spans="1:247" x14ac:dyDescent="0.3">
      <c r="A67" s="18">
        <v>40619</v>
      </c>
      <c r="B67" s="18">
        <v>40620</v>
      </c>
      <c r="C67" s="18">
        <v>40624</v>
      </c>
      <c r="D67" s="18">
        <v>40662</v>
      </c>
      <c r="E67">
        <v>0.55332000000000003</v>
      </c>
      <c r="F67" t="s">
        <v>119</v>
      </c>
      <c r="G67" t="s">
        <v>123</v>
      </c>
      <c r="I67" s="18">
        <v>40554</v>
      </c>
      <c r="J67" s="18">
        <v>40802</v>
      </c>
      <c r="K67" s="18">
        <v>40806</v>
      </c>
      <c r="L67" s="18">
        <v>40847</v>
      </c>
      <c r="M67">
        <v>0.10434</v>
      </c>
      <c r="N67" t="s">
        <v>119</v>
      </c>
      <c r="O67" t="s">
        <v>123</v>
      </c>
      <c r="Q67" s="18">
        <v>40710</v>
      </c>
      <c r="R67" s="18">
        <v>40711</v>
      </c>
      <c r="S67" s="18">
        <v>40715</v>
      </c>
      <c r="T67" s="18">
        <v>40723</v>
      </c>
      <c r="U67">
        <v>4.9114999999999999E-2</v>
      </c>
      <c r="V67" t="s">
        <v>119</v>
      </c>
      <c r="W67" t="s">
        <v>123</v>
      </c>
      <c r="BM67" s="18">
        <v>40616</v>
      </c>
      <c r="BN67" s="18">
        <v>40680</v>
      </c>
      <c r="BO67" s="18">
        <v>40682</v>
      </c>
      <c r="BP67" s="18">
        <v>40703</v>
      </c>
      <c r="BQ67">
        <v>0.16</v>
      </c>
      <c r="BR67" t="s">
        <v>119</v>
      </c>
      <c r="BS67" t="s">
        <v>120</v>
      </c>
      <c r="DI67" s="18">
        <v>40703</v>
      </c>
      <c r="DJ67" s="18">
        <v>40709</v>
      </c>
      <c r="DK67" s="18">
        <v>40711</v>
      </c>
      <c r="DL67" s="18">
        <v>40724</v>
      </c>
      <c r="DM67">
        <v>8.9999999999999993E-3</v>
      </c>
      <c r="DN67" t="s">
        <v>119</v>
      </c>
      <c r="DO67" t="s">
        <v>120</v>
      </c>
      <c r="FU67" s="18">
        <v>40716</v>
      </c>
      <c r="FV67" s="18">
        <v>40735</v>
      </c>
      <c r="FW67" s="18">
        <v>40737</v>
      </c>
      <c r="FX67" s="18">
        <v>40758</v>
      </c>
      <c r="FY67">
        <v>0.06</v>
      </c>
      <c r="FZ67" t="s">
        <v>119</v>
      </c>
      <c r="GA67" t="s">
        <v>120</v>
      </c>
      <c r="HA67" s="18">
        <v>40651</v>
      </c>
      <c r="HB67" s="18">
        <v>40674</v>
      </c>
      <c r="HC67" s="18">
        <v>40676</v>
      </c>
      <c r="HD67" s="18">
        <v>40704</v>
      </c>
      <c r="HE67">
        <v>0.49</v>
      </c>
      <c r="HF67" t="s">
        <v>119</v>
      </c>
      <c r="HG67" t="s">
        <v>120</v>
      </c>
      <c r="HI67" s="18">
        <v>40584</v>
      </c>
      <c r="HJ67" s="18">
        <v>40605</v>
      </c>
      <c r="HK67" s="18">
        <v>40609</v>
      </c>
      <c r="HL67" s="18">
        <v>40623</v>
      </c>
      <c r="HM67">
        <v>0.125</v>
      </c>
      <c r="HN67" t="s">
        <v>119</v>
      </c>
      <c r="HO67" t="s">
        <v>120</v>
      </c>
      <c r="HQ67" s="18">
        <v>40620</v>
      </c>
      <c r="HR67" s="18">
        <v>40637</v>
      </c>
      <c r="HS67" s="18">
        <v>40639</v>
      </c>
      <c r="HT67" s="18">
        <v>40663</v>
      </c>
      <c r="HU67">
        <v>0.25</v>
      </c>
      <c r="HV67" t="s">
        <v>119</v>
      </c>
      <c r="HW67" t="s">
        <v>120</v>
      </c>
      <c r="HY67" s="18">
        <v>41038</v>
      </c>
      <c r="HZ67" s="18">
        <v>41052</v>
      </c>
      <c r="IA67" s="18">
        <v>41054</v>
      </c>
      <c r="IB67" s="18">
        <v>41068</v>
      </c>
      <c r="IC67">
        <v>0.27500000000000002</v>
      </c>
      <c r="ID67" t="s">
        <v>119</v>
      </c>
      <c r="IE67" t="s">
        <v>120</v>
      </c>
      <c r="IG67" s="18">
        <v>40569</v>
      </c>
      <c r="IH67" s="18">
        <v>40582</v>
      </c>
      <c r="II67" s="18">
        <v>40584</v>
      </c>
      <c r="IJ67" s="18">
        <v>40612</v>
      </c>
      <c r="IK67">
        <v>0.44</v>
      </c>
      <c r="IL67" t="s">
        <v>119</v>
      </c>
      <c r="IM67" t="s">
        <v>120</v>
      </c>
    </row>
    <row r="68" spans="1:247" x14ac:dyDescent="0.3">
      <c r="A68" s="18">
        <v>40528</v>
      </c>
      <c r="B68" s="18">
        <v>40529</v>
      </c>
      <c r="C68" s="18">
        <v>40533</v>
      </c>
      <c r="D68" s="18">
        <v>40574</v>
      </c>
      <c r="E68">
        <v>0.65276000000000001</v>
      </c>
      <c r="F68" t="s">
        <v>119</v>
      </c>
      <c r="G68" t="s">
        <v>123</v>
      </c>
      <c r="I68" s="18">
        <v>40554</v>
      </c>
      <c r="J68" s="18">
        <v>40711</v>
      </c>
      <c r="K68" s="18">
        <v>40715</v>
      </c>
      <c r="L68" s="18">
        <v>40753</v>
      </c>
      <c r="M68">
        <v>0.12078999999999999</v>
      </c>
      <c r="N68" t="s">
        <v>119</v>
      </c>
      <c r="O68" t="s">
        <v>123</v>
      </c>
      <c r="Q68" s="18">
        <v>40619</v>
      </c>
      <c r="R68" s="18">
        <v>40620</v>
      </c>
      <c r="S68" s="18">
        <v>40624</v>
      </c>
      <c r="T68" s="18">
        <v>40632</v>
      </c>
      <c r="U68">
        <v>4.1794999999999999E-2</v>
      </c>
      <c r="V68" t="s">
        <v>119</v>
      </c>
      <c r="W68" t="s">
        <v>123</v>
      </c>
      <c r="BM68" s="18">
        <v>40527</v>
      </c>
      <c r="BN68" s="18">
        <v>40589</v>
      </c>
      <c r="BO68" s="18">
        <v>40591</v>
      </c>
      <c r="BP68" s="18">
        <v>40612</v>
      </c>
      <c r="BQ68">
        <v>0.16</v>
      </c>
      <c r="BR68" t="s">
        <v>119</v>
      </c>
      <c r="BS68" t="s">
        <v>120</v>
      </c>
      <c r="DI68" s="18">
        <v>40612</v>
      </c>
      <c r="DJ68" s="18">
        <v>40618</v>
      </c>
      <c r="DK68" s="18">
        <v>40620</v>
      </c>
      <c r="DL68" s="18">
        <v>40632</v>
      </c>
      <c r="DM68">
        <v>8.0000000000000002E-3</v>
      </c>
      <c r="DN68" t="s">
        <v>119</v>
      </c>
      <c r="DO68" t="s">
        <v>120</v>
      </c>
      <c r="FU68" s="18">
        <v>40626</v>
      </c>
      <c r="FV68" s="18">
        <v>40644</v>
      </c>
      <c r="FW68" s="18">
        <v>40646</v>
      </c>
      <c r="FX68" s="18">
        <v>40667</v>
      </c>
      <c r="FY68">
        <v>0.06</v>
      </c>
      <c r="FZ68" t="s">
        <v>119</v>
      </c>
      <c r="GA68" t="s">
        <v>120</v>
      </c>
      <c r="HA68" s="18">
        <v>40525</v>
      </c>
      <c r="HB68" s="18">
        <v>40585</v>
      </c>
      <c r="HC68" s="18">
        <v>40589</v>
      </c>
      <c r="HD68" s="18">
        <v>40612</v>
      </c>
      <c r="HE68">
        <v>0.49</v>
      </c>
      <c r="HF68" t="s">
        <v>119</v>
      </c>
      <c r="HG68" t="s">
        <v>120</v>
      </c>
      <c r="HI68" s="18">
        <v>40484</v>
      </c>
      <c r="HJ68" s="18">
        <v>40515</v>
      </c>
      <c r="HK68" s="18">
        <v>40519</v>
      </c>
      <c r="HL68" s="18">
        <v>40533</v>
      </c>
      <c r="HM68">
        <v>0.125</v>
      </c>
      <c r="HN68" t="s">
        <v>119</v>
      </c>
      <c r="HO68" t="s">
        <v>120</v>
      </c>
      <c r="HQ68" s="18">
        <v>40526</v>
      </c>
      <c r="HR68" s="18">
        <v>40547</v>
      </c>
      <c r="HS68" s="18">
        <v>40549</v>
      </c>
      <c r="HT68" s="18">
        <v>40574</v>
      </c>
      <c r="HU68">
        <v>0.05</v>
      </c>
      <c r="HV68" t="s">
        <v>119</v>
      </c>
      <c r="HW68" t="s">
        <v>120</v>
      </c>
      <c r="HY68" s="18">
        <v>40934</v>
      </c>
      <c r="HZ68" s="18">
        <v>40947</v>
      </c>
      <c r="IA68" s="18">
        <v>40949</v>
      </c>
      <c r="IB68" s="18">
        <v>40963</v>
      </c>
      <c r="IC68">
        <v>0.24</v>
      </c>
      <c r="ID68" t="s">
        <v>119</v>
      </c>
      <c r="IE68" t="s">
        <v>120</v>
      </c>
      <c r="IG68" s="18">
        <v>40478</v>
      </c>
      <c r="IH68" s="18">
        <v>40491</v>
      </c>
      <c r="II68" s="18">
        <v>40494</v>
      </c>
      <c r="IJ68" s="18">
        <v>40522</v>
      </c>
      <c r="IK68">
        <v>0.44</v>
      </c>
      <c r="IL68" t="s">
        <v>119</v>
      </c>
      <c r="IM68" t="s">
        <v>120</v>
      </c>
    </row>
    <row r="69" spans="1:247" x14ac:dyDescent="0.3">
      <c r="A69" s="18">
        <v>40437</v>
      </c>
      <c r="B69" s="18">
        <v>40438</v>
      </c>
      <c r="C69" s="18">
        <v>40442</v>
      </c>
      <c r="D69" s="18">
        <v>40480</v>
      </c>
      <c r="E69">
        <v>0.60213000000000005</v>
      </c>
      <c r="F69" t="s">
        <v>119</v>
      </c>
      <c r="G69" t="s">
        <v>123</v>
      </c>
      <c r="I69" s="18">
        <v>40554</v>
      </c>
      <c r="J69" s="18">
        <v>40620</v>
      </c>
      <c r="K69" s="18">
        <v>40624</v>
      </c>
      <c r="L69" s="18">
        <v>40662</v>
      </c>
      <c r="M69">
        <v>7.6869999999999994E-2</v>
      </c>
      <c r="N69" t="s">
        <v>119</v>
      </c>
      <c r="O69" t="s">
        <v>123</v>
      </c>
      <c r="Q69" s="18">
        <v>40528</v>
      </c>
      <c r="R69" s="18">
        <v>40529</v>
      </c>
      <c r="S69" s="18">
        <v>40533</v>
      </c>
      <c r="T69" s="18">
        <v>40541</v>
      </c>
      <c r="U69">
        <v>4.4999999999999998E-2</v>
      </c>
      <c r="V69" t="s">
        <v>119</v>
      </c>
      <c r="W69" t="s">
        <v>123</v>
      </c>
      <c r="BM69" s="18">
        <v>40442</v>
      </c>
      <c r="BN69" s="18">
        <v>40498</v>
      </c>
      <c r="BO69" s="18">
        <v>40500</v>
      </c>
      <c r="BP69" s="18">
        <v>40521</v>
      </c>
      <c r="BQ69">
        <v>0.16</v>
      </c>
      <c r="BR69" t="s">
        <v>119</v>
      </c>
      <c r="BS69" t="s">
        <v>120</v>
      </c>
      <c r="DI69" s="18">
        <v>40514</v>
      </c>
      <c r="DJ69" s="18">
        <v>40525</v>
      </c>
      <c r="DK69" s="18">
        <v>40527</v>
      </c>
      <c r="DL69" s="18">
        <v>40542</v>
      </c>
      <c r="DM69">
        <v>7.0000000000000001E-3</v>
      </c>
      <c r="DN69" t="s">
        <v>119</v>
      </c>
      <c r="DO69" t="s">
        <v>120</v>
      </c>
      <c r="FU69" s="18">
        <v>40528</v>
      </c>
      <c r="FV69" s="18">
        <v>40557</v>
      </c>
      <c r="FW69" s="18">
        <v>40562</v>
      </c>
      <c r="FX69" s="18">
        <v>40583</v>
      </c>
      <c r="FY69">
        <v>0.05</v>
      </c>
      <c r="FZ69" t="s">
        <v>119</v>
      </c>
      <c r="GA69" t="s">
        <v>120</v>
      </c>
      <c r="HA69" s="18">
        <v>40469</v>
      </c>
      <c r="HB69" s="18">
        <v>40492</v>
      </c>
      <c r="HC69" s="18">
        <v>40497</v>
      </c>
      <c r="HD69" s="18">
        <v>40522</v>
      </c>
      <c r="HE69">
        <v>0.49</v>
      </c>
      <c r="HF69" t="s">
        <v>119</v>
      </c>
      <c r="HG69" t="s">
        <v>120</v>
      </c>
      <c r="HI69" s="18">
        <v>40394</v>
      </c>
      <c r="HJ69" s="18">
        <v>40431</v>
      </c>
      <c r="HK69" s="18">
        <v>40435</v>
      </c>
      <c r="HL69" s="18">
        <v>40449</v>
      </c>
      <c r="HM69">
        <v>0.125</v>
      </c>
      <c r="HN69" t="s">
        <v>119</v>
      </c>
      <c r="HO69" t="s">
        <v>120</v>
      </c>
      <c r="HQ69" s="18">
        <v>40442</v>
      </c>
      <c r="HR69" s="18">
        <v>40455</v>
      </c>
      <c r="HS69" s="18">
        <v>40457</v>
      </c>
      <c r="HT69" s="18">
        <v>40482</v>
      </c>
      <c r="HU69">
        <v>0.05</v>
      </c>
      <c r="HV69" t="s">
        <v>119</v>
      </c>
      <c r="HW69" t="s">
        <v>120</v>
      </c>
      <c r="HY69" s="18">
        <v>40841</v>
      </c>
      <c r="HZ69" s="18">
        <v>40855</v>
      </c>
      <c r="IA69" s="18">
        <v>40858</v>
      </c>
      <c r="IB69" s="18">
        <v>40872</v>
      </c>
      <c r="IC69">
        <v>0.24</v>
      </c>
      <c r="ID69" t="s">
        <v>119</v>
      </c>
      <c r="IE69" t="s">
        <v>120</v>
      </c>
      <c r="IG69" s="18">
        <v>40387</v>
      </c>
      <c r="IH69" s="18">
        <v>40401</v>
      </c>
      <c r="II69" s="18">
        <v>40403</v>
      </c>
      <c r="IJ69" s="18">
        <v>40431</v>
      </c>
      <c r="IK69">
        <v>0.44</v>
      </c>
      <c r="IL69" t="s">
        <v>119</v>
      </c>
      <c r="IM69" t="s">
        <v>120</v>
      </c>
    </row>
    <row r="70" spans="1:247" x14ac:dyDescent="0.3">
      <c r="A70" s="18">
        <v>40346</v>
      </c>
      <c r="B70" s="18">
        <v>40347</v>
      </c>
      <c r="C70" s="18">
        <v>40351</v>
      </c>
      <c r="D70" s="18">
        <v>40389</v>
      </c>
      <c r="E70">
        <v>0.53127999999999997</v>
      </c>
      <c r="F70" t="s">
        <v>119</v>
      </c>
      <c r="G70" t="s">
        <v>123</v>
      </c>
      <c r="I70" s="18">
        <v>40193</v>
      </c>
      <c r="J70" s="18">
        <v>40529</v>
      </c>
      <c r="K70" s="18">
        <v>40533</v>
      </c>
      <c r="L70" s="18">
        <v>40543</v>
      </c>
      <c r="M70">
        <v>0.10832</v>
      </c>
      <c r="N70" t="s">
        <v>119</v>
      </c>
      <c r="O70" t="s">
        <v>123</v>
      </c>
      <c r="Q70" s="18">
        <v>40437</v>
      </c>
      <c r="R70" s="18">
        <v>40438</v>
      </c>
      <c r="S70" s="18">
        <v>40442</v>
      </c>
      <c r="T70" s="18">
        <v>40450</v>
      </c>
      <c r="U70">
        <v>4.0390000000000002E-2</v>
      </c>
      <c r="V70" t="s">
        <v>119</v>
      </c>
      <c r="W70" t="s">
        <v>123</v>
      </c>
      <c r="BM70" s="18">
        <v>40345</v>
      </c>
      <c r="BN70" s="18">
        <v>40407</v>
      </c>
      <c r="BO70" s="18">
        <v>40409</v>
      </c>
      <c r="BP70" s="18">
        <v>40430</v>
      </c>
      <c r="BQ70">
        <v>0.13</v>
      </c>
      <c r="BR70" t="s">
        <v>119</v>
      </c>
      <c r="BS70" t="s">
        <v>120</v>
      </c>
      <c r="FU70" s="18">
        <v>40437</v>
      </c>
      <c r="FV70" s="18">
        <v>40455</v>
      </c>
      <c r="FW70" s="18">
        <v>40457</v>
      </c>
      <c r="FX70" s="18">
        <v>40485</v>
      </c>
      <c r="FY70">
        <v>0.05</v>
      </c>
      <c r="FZ70" t="s">
        <v>119</v>
      </c>
      <c r="GA70" t="s">
        <v>120</v>
      </c>
      <c r="HA70" s="18">
        <v>40350</v>
      </c>
      <c r="HB70" s="18">
        <v>40401</v>
      </c>
      <c r="HC70" s="18">
        <v>40403</v>
      </c>
      <c r="HD70" s="18">
        <v>40431</v>
      </c>
      <c r="HE70">
        <v>0.49</v>
      </c>
      <c r="HF70" t="s">
        <v>119</v>
      </c>
      <c r="HG70" t="s">
        <v>120</v>
      </c>
      <c r="HI70" s="18">
        <v>40323</v>
      </c>
      <c r="HJ70" s="18">
        <v>40332</v>
      </c>
      <c r="HK70" s="18">
        <v>40336</v>
      </c>
      <c r="HL70" s="18">
        <v>40350</v>
      </c>
      <c r="HM70">
        <v>0.125</v>
      </c>
      <c r="HN70" t="s">
        <v>119</v>
      </c>
      <c r="HO70" t="s">
        <v>120</v>
      </c>
      <c r="HQ70" s="18">
        <v>40316</v>
      </c>
      <c r="HR70" s="18">
        <v>40360</v>
      </c>
      <c r="HS70" s="18">
        <v>40365</v>
      </c>
      <c r="HT70" s="18">
        <v>40390</v>
      </c>
      <c r="HU70">
        <v>0.05</v>
      </c>
      <c r="HV70" t="s">
        <v>119</v>
      </c>
      <c r="HW70" t="s">
        <v>120</v>
      </c>
      <c r="HY70" s="18">
        <v>40742</v>
      </c>
      <c r="HZ70" s="18">
        <v>40758</v>
      </c>
      <c r="IA70" s="18">
        <v>40760</v>
      </c>
      <c r="IB70" s="18">
        <v>40774</v>
      </c>
      <c r="IC70">
        <v>0.24</v>
      </c>
      <c r="ID70" t="s">
        <v>119</v>
      </c>
      <c r="IE70" t="s">
        <v>120</v>
      </c>
      <c r="IG70" s="18">
        <v>40296</v>
      </c>
      <c r="IH70" s="18">
        <v>40309</v>
      </c>
      <c r="II70" s="18">
        <v>40311</v>
      </c>
      <c r="IJ70" s="18">
        <v>40339</v>
      </c>
      <c r="IK70">
        <v>0.44</v>
      </c>
      <c r="IL70" t="s">
        <v>119</v>
      </c>
      <c r="IM70" t="s">
        <v>120</v>
      </c>
    </row>
    <row r="71" spans="1:247" x14ac:dyDescent="0.3">
      <c r="A71" s="18">
        <v>40255</v>
      </c>
      <c r="B71" s="18">
        <v>40256</v>
      </c>
      <c r="C71" s="18">
        <v>40260</v>
      </c>
      <c r="D71" s="18">
        <v>40298</v>
      </c>
      <c r="E71">
        <v>0.48037999999999997</v>
      </c>
      <c r="F71" t="s">
        <v>119</v>
      </c>
      <c r="G71" t="s">
        <v>123</v>
      </c>
      <c r="I71" s="18">
        <v>40193</v>
      </c>
      <c r="J71" s="18">
        <v>40438</v>
      </c>
      <c r="K71" s="18">
        <v>40442</v>
      </c>
      <c r="L71" s="18">
        <v>40480</v>
      </c>
      <c r="M71">
        <v>0.11155</v>
      </c>
      <c r="N71" t="s">
        <v>119</v>
      </c>
      <c r="O71" t="s">
        <v>123</v>
      </c>
      <c r="Q71" s="18">
        <v>40346</v>
      </c>
      <c r="R71" s="18">
        <v>40347</v>
      </c>
      <c r="S71" s="18">
        <v>40351</v>
      </c>
      <c r="T71" s="18">
        <v>40359</v>
      </c>
      <c r="U71">
        <v>3.9465E-2</v>
      </c>
      <c r="V71" t="s">
        <v>119</v>
      </c>
      <c r="W71" t="s">
        <v>123</v>
      </c>
      <c r="BM71" s="18">
        <v>40245</v>
      </c>
      <c r="BN71" s="18">
        <v>40316</v>
      </c>
      <c r="BO71" s="18">
        <v>40318</v>
      </c>
      <c r="BP71" s="18">
        <v>40339</v>
      </c>
      <c r="BQ71">
        <v>0.13</v>
      </c>
      <c r="BR71" t="s">
        <v>119</v>
      </c>
      <c r="BS71" t="s">
        <v>120</v>
      </c>
      <c r="FU71" s="18">
        <v>40353</v>
      </c>
      <c r="FV71" s="18">
        <v>40371</v>
      </c>
      <c r="FW71" s="18">
        <v>40373</v>
      </c>
      <c r="FX71" s="18">
        <v>40394</v>
      </c>
      <c r="FY71">
        <v>0.05</v>
      </c>
      <c r="FZ71" t="s">
        <v>119</v>
      </c>
      <c r="GA71" t="s">
        <v>120</v>
      </c>
      <c r="HA71" s="18">
        <v>40287</v>
      </c>
      <c r="HB71" s="18">
        <v>40310</v>
      </c>
      <c r="HC71" s="18">
        <v>40312</v>
      </c>
      <c r="HD71" s="18">
        <v>40339</v>
      </c>
      <c r="HE71">
        <v>0.49</v>
      </c>
      <c r="HF71" t="s">
        <v>119</v>
      </c>
      <c r="HG71" t="s">
        <v>120</v>
      </c>
      <c r="HI71" s="18">
        <v>40219</v>
      </c>
      <c r="HJ71" s="18">
        <v>40269</v>
      </c>
      <c r="HK71" s="18">
        <v>40274</v>
      </c>
      <c r="HL71" s="18">
        <v>40288</v>
      </c>
      <c r="HM71">
        <v>0.03</v>
      </c>
      <c r="HN71" t="s">
        <v>126</v>
      </c>
      <c r="HO71" t="s">
        <v>120</v>
      </c>
      <c r="HQ71" s="18">
        <v>40253</v>
      </c>
      <c r="HR71" s="18">
        <v>40269</v>
      </c>
      <c r="HS71" s="18">
        <v>40274</v>
      </c>
      <c r="HT71" s="18">
        <v>40298</v>
      </c>
      <c r="HU71">
        <v>0.05</v>
      </c>
      <c r="HV71" t="s">
        <v>119</v>
      </c>
      <c r="HW71" t="s">
        <v>120</v>
      </c>
      <c r="HY71" s="18">
        <v>40659</v>
      </c>
      <c r="HZ71" s="18">
        <v>40674</v>
      </c>
      <c r="IA71" s="18">
        <v>40676</v>
      </c>
      <c r="IB71" s="18">
        <v>40690</v>
      </c>
      <c r="IC71">
        <v>0.24</v>
      </c>
      <c r="ID71" t="s">
        <v>119</v>
      </c>
      <c r="IE71" t="s">
        <v>120</v>
      </c>
      <c r="IG71" s="18">
        <v>40205</v>
      </c>
      <c r="IH71" s="18">
        <v>40217</v>
      </c>
      <c r="II71" s="18">
        <v>40219</v>
      </c>
      <c r="IJ71" s="18">
        <v>40247</v>
      </c>
      <c r="IK71">
        <v>0.42</v>
      </c>
      <c r="IL71" t="s">
        <v>119</v>
      </c>
      <c r="IM71" t="s">
        <v>120</v>
      </c>
    </row>
    <row r="72" spans="1:247" x14ac:dyDescent="0.3">
      <c r="I72" s="18">
        <v>40193</v>
      </c>
      <c r="J72" s="18">
        <v>40347</v>
      </c>
      <c r="K72" s="18">
        <v>40351</v>
      </c>
      <c r="L72" s="18">
        <v>40389</v>
      </c>
      <c r="M72">
        <v>8.9300000000000004E-2</v>
      </c>
      <c r="N72" t="s">
        <v>119</v>
      </c>
      <c r="O72" t="s">
        <v>123</v>
      </c>
      <c r="Q72" s="18">
        <v>40255</v>
      </c>
      <c r="R72" s="18">
        <v>40256</v>
      </c>
      <c r="S72" s="18">
        <v>40260</v>
      </c>
      <c r="T72" s="18">
        <v>40268</v>
      </c>
      <c r="U72">
        <v>3.6549999999999999E-2</v>
      </c>
      <c r="V72" t="s">
        <v>119</v>
      </c>
      <c r="W72" t="s">
        <v>123</v>
      </c>
      <c r="BM72" s="18">
        <v>40156</v>
      </c>
      <c r="BN72" s="18">
        <v>40225</v>
      </c>
      <c r="BO72" s="18">
        <v>40227</v>
      </c>
      <c r="BP72" s="18">
        <v>40248</v>
      </c>
      <c r="BQ72">
        <v>0.13</v>
      </c>
      <c r="BR72" t="s">
        <v>119</v>
      </c>
      <c r="BS72" t="s">
        <v>120</v>
      </c>
      <c r="FU72" s="18">
        <v>40262</v>
      </c>
      <c r="FV72" s="18">
        <v>40280</v>
      </c>
      <c r="FW72" s="18">
        <v>40282</v>
      </c>
      <c r="FX72" s="18">
        <v>40303</v>
      </c>
      <c r="FY72">
        <v>0.05</v>
      </c>
      <c r="FZ72" t="s">
        <v>119</v>
      </c>
      <c r="GA72" t="s">
        <v>120</v>
      </c>
      <c r="HA72" s="18">
        <v>40161</v>
      </c>
      <c r="HB72" s="18">
        <v>40219</v>
      </c>
      <c r="HC72" s="18">
        <v>40221</v>
      </c>
      <c r="HD72" s="18">
        <v>40247</v>
      </c>
      <c r="HE72">
        <v>0.49</v>
      </c>
      <c r="HF72" t="s">
        <v>119</v>
      </c>
      <c r="HG72" t="s">
        <v>120</v>
      </c>
      <c r="HQ72" s="18">
        <v>40155</v>
      </c>
      <c r="HR72" s="18">
        <v>40182</v>
      </c>
      <c r="HS72" s="18">
        <v>40184</v>
      </c>
      <c r="HT72" s="18">
        <v>40209</v>
      </c>
      <c r="HU72">
        <v>0.05</v>
      </c>
      <c r="HV72" t="s">
        <v>119</v>
      </c>
      <c r="HW72" t="s">
        <v>120</v>
      </c>
      <c r="HY72" s="18">
        <v>40570</v>
      </c>
      <c r="HZ72" s="18">
        <v>40583</v>
      </c>
      <c r="IA72" s="18">
        <v>40585</v>
      </c>
      <c r="IB72" s="18">
        <v>40599</v>
      </c>
      <c r="IC72">
        <v>0.20499999999999999</v>
      </c>
      <c r="ID72" t="s">
        <v>119</v>
      </c>
      <c r="IE72" t="s">
        <v>120</v>
      </c>
    </row>
    <row r="73" spans="1:247" x14ac:dyDescent="0.3">
      <c r="I73" s="18">
        <v>40193</v>
      </c>
      <c r="J73" s="18">
        <v>40256</v>
      </c>
      <c r="K73" s="18">
        <v>40260</v>
      </c>
      <c r="L73" s="18">
        <v>40298</v>
      </c>
      <c r="M73">
        <v>5.1459999999999999E-2</v>
      </c>
      <c r="N73" t="s">
        <v>119</v>
      </c>
      <c r="O73" t="s">
        <v>123</v>
      </c>
      <c r="FU73" s="18">
        <v>40165</v>
      </c>
      <c r="FV73" s="18">
        <v>40192</v>
      </c>
      <c r="FW73" s="18">
        <v>40197</v>
      </c>
      <c r="FX73" s="18">
        <v>40218</v>
      </c>
      <c r="FY73">
        <v>0.05</v>
      </c>
      <c r="FZ73" t="s">
        <v>119</v>
      </c>
      <c r="GA73" t="s">
        <v>120</v>
      </c>
      <c r="HY73" s="18">
        <v>40458</v>
      </c>
      <c r="HZ73" s="18">
        <v>40478</v>
      </c>
      <c r="IA73" s="18">
        <v>40480</v>
      </c>
      <c r="IB73" s="18">
        <v>40494</v>
      </c>
      <c r="IC73">
        <v>0.20499999999999999</v>
      </c>
      <c r="ID73" t="s">
        <v>119</v>
      </c>
      <c r="IE73" t="s">
        <v>120</v>
      </c>
    </row>
    <row r="74" spans="1:247" x14ac:dyDescent="0.3">
      <c r="HY74" s="18">
        <v>40378</v>
      </c>
      <c r="HZ74" s="18">
        <v>40394</v>
      </c>
      <c r="IA74" s="18">
        <v>40396</v>
      </c>
      <c r="IB74" s="18">
        <v>40410</v>
      </c>
      <c r="IC74">
        <v>0.20499999999999999</v>
      </c>
      <c r="ID74" t="s">
        <v>119</v>
      </c>
      <c r="IE74" t="s">
        <v>120</v>
      </c>
    </row>
    <row r="75" spans="1:247" x14ac:dyDescent="0.3">
      <c r="HY75" s="18">
        <v>40290</v>
      </c>
      <c r="HZ75" s="18">
        <v>40303</v>
      </c>
      <c r="IA75" s="18">
        <v>40305</v>
      </c>
      <c r="IB75" s="18">
        <v>40319</v>
      </c>
      <c r="IC75">
        <v>0.20499999999999999</v>
      </c>
      <c r="ID75" t="s">
        <v>119</v>
      </c>
      <c r="IE75" t="s">
        <v>120</v>
      </c>
    </row>
    <row r="76" spans="1:247" x14ac:dyDescent="0.3">
      <c r="HY76" s="18">
        <v>40206</v>
      </c>
      <c r="HZ76" s="18">
        <v>40219</v>
      </c>
      <c r="IA76" s="18">
        <v>40221</v>
      </c>
      <c r="IB76" s="18">
        <v>40235</v>
      </c>
      <c r="IC76">
        <v>0.18</v>
      </c>
      <c r="ID76" t="s">
        <v>119</v>
      </c>
      <c r="IE76" t="s">
        <v>120</v>
      </c>
    </row>
  </sheetData>
  <mergeCells count="62">
    <mergeCell ref="I1:O1"/>
    <mergeCell ref="AW1:BC1"/>
    <mergeCell ref="FU3:GA3"/>
    <mergeCell ref="CS1:CY1"/>
    <mergeCell ref="FM3:FS3"/>
    <mergeCell ref="AG3:AM3"/>
    <mergeCell ref="BE3:BK3"/>
    <mergeCell ref="Q3:W3"/>
    <mergeCell ref="DI3:DO3"/>
    <mergeCell ref="Y3:AE3"/>
    <mergeCell ref="BM3:BS3"/>
    <mergeCell ref="AG1:AM1"/>
    <mergeCell ref="DA3:DG3"/>
    <mergeCell ref="BU3:CA3"/>
    <mergeCell ref="CK1:CQ1"/>
    <mergeCell ref="IG3:IM3"/>
    <mergeCell ref="FE1:FK1"/>
    <mergeCell ref="CC3:CI3"/>
    <mergeCell ref="CK3:CQ3"/>
    <mergeCell ref="HA1:HG1"/>
    <mergeCell ref="HI1:HO1"/>
    <mergeCell ref="EO3:EU3"/>
    <mergeCell ref="EW3:FC3"/>
    <mergeCell ref="GK3:GQ3"/>
    <mergeCell ref="HY3:IE3"/>
    <mergeCell ref="FE3:FK3"/>
    <mergeCell ref="GS3:GY3"/>
    <mergeCell ref="DQ1:DW1"/>
    <mergeCell ref="DY1:EE1"/>
    <mergeCell ref="FM1:FS1"/>
    <mergeCell ref="FU1:GA1"/>
    <mergeCell ref="A3:G3"/>
    <mergeCell ref="BU1:CA1"/>
    <mergeCell ref="I3:O3"/>
    <mergeCell ref="IG1:IM1"/>
    <mergeCell ref="A1:G1"/>
    <mergeCell ref="CC1:CI1"/>
    <mergeCell ref="DY3:EE3"/>
    <mergeCell ref="HQ3:HW3"/>
    <mergeCell ref="EG3:EM3"/>
    <mergeCell ref="EO1:EU1"/>
    <mergeCell ref="EW1:FC1"/>
    <mergeCell ref="GC3:GI3"/>
    <mergeCell ref="HY1:IE1"/>
    <mergeCell ref="AO3:AU3"/>
    <mergeCell ref="GS1:GY1"/>
    <mergeCell ref="AW3:BC3"/>
    <mergeCell ref="HI3:HO3"/>
    <mergeCell ref="EG1:EM1"/>
    <mergeCell ref="HA3:HG3"/>
    <mergeCell ref="Q1:W1"/>
    <mergeCell ref="HQ1:HW1"/>
    <mergeCell ref="GK1:GQ1"/>
    <mergeCell ref="GC1:GI1"/>
    <mergeCell ref="DQ3:DW3"/>
    <mergeCell ref="CS3:CY3"/>
    <mergeCell ref="DA1:DG1"/>
    <mergeCell ref="DI1:DO1"/>
    <mergeCell ref="BE1:BK1"/>
    <mergeCell ref="Y1:AE1"/>
    <mergeCell ref="BM1:BS1"/>
    <mergeCell ref="AO1:AU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README</vt:lpstr>
      <vt:lpstr>Control</vt:lpstr>
      <vt:lpstr>Dividend_Data</vt:lpstr>
      <vt:lpstr>DvdEnd</vt:lpstr>
      <vt:lpstr>DvdField</vt:lpstr>
      <vt:lpstr>DvdStart</vt:lpstr>
      <vt:lpstr>TkrSuffix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 Zhang</cp:lastModifiedBy>
  <dcterms:created xsi:type="dcterms:W3CDTF">2026-09-20T09:27:37Z</dcterms:created>
  <dcterms:modified xsi:type="dcterms:W3CDTF">2026-09-20T09:43:08Z</dcterms:modified>
</cp:coreProperties>
</file>