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ngzhang\Downloads\"/>
    </mc:Choice>
  </mc:AlternateContent>
  <xr:revisionPtr revIDLastSave="0" documentId="13_ncr:1_{D620EC7B-F01B-40D6-9BA7-8768BCD1F80E}" xr6:coauthVersionLast="47" xr6:coauthVersionMax="47" xr10:uidLastSave="{00000000-0000-0000-0000-000000000000}"/>
  <bookViews>
    <workbookView xWindow="-88" yWindow="-13636" windowWidth="24267" windowHeight="13022" activeTab="2" xr2:uid="{00000000-000D-0000-FFFF-FFFF00000000}"/>
  </bookViews>
  <sheets>
    <sheet name="README" sheetId="1" r:id="rId1"/>
    <sheet name="Control" sheetId="2" r:id="rId2"/>
    <sheet name="Earnings_Data" sheetId="3" r:id="rId3"/>
  </sheets>
  <definedNames>
    <definedName name="EarnField">Control!$B$5</definedName>
    <definedName name="TkrSuffix">Control!$B$4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A2" i="3" l="1"/>
  <c r="FT2" i="3"/>
  <c r="FM2" i="3"/>
  <c r="FF2" i="3"/>
  <c r="EY2" i="3"/>
  <c r="ER2" i="3"/>
  <c r="EK2" i="3"/>
  <c r="ED2" i="3"/>
  <c r="DW2" i="3"/>
  <c r="DP2" i="3"/>
  <c r="DI2" i="3"/>
  <c r="DB2" i="3"/>
  <c r="CU2" i="3"/>
  <c r="CN2" i="3"/>
  <c r="CG2" i="3"/>
  <c r="BZ2" i="3"/>
  <c r="BS2" i="3"/>
  <c r="BL2" i="3"/>
  <c r="BE2" i="3"/>
  <c r="AX2" i="3"/>
  <c r="AQ2" i="3"/>
  <c r="AJ2" i="3"/>
  <c r="AC2" i="3"/>
  <c r="V2" i="3"/>
  <c r="O2" i="3"/>
  <c r="H2" i="3"/>
  <c r="A2" i="3"/>
  <c r="GA1" i="3"/>
  <c r="FT1" i="3"/>
  <c r="FM1" i="3"/>
  <c r="FF1" i="3"/>
  <c r="EY1" i="3"/>
  <c r="ER1" i="3"/>
  <c r="EK1" i="3"/>
  <c r="ED1" i="3"/>
  <c r="DW1" i="3"/>
  <c r="DP1" i="3"/>
  <c r="DI1" i="3"/>
  <c r="DB1" i="3"/>
  <c r="CU1" i="3"/>
  <c r="CN1" i="3"/>
  <c r="CG1" i="3"/>
  <c r="BZ1" i="3"/>
  <c r="BS1" i="3"/>
  <c r="BL1" i="3"/>
  <c r="BE1" i="3"/>
  <c r="AX1" i="3"/>
  <c r="AQ1" i="3"/>
  <c r="AJ1" i="3"/>
  <c r="AC1" i="3"/>
  <c r="V1" i="3"/>
  <c r="O1" i="3"/>
  <c r="H1" i="3"/>
  <c r="A1" i="3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BL4" i="3"/>
  <c r="A4" i="3"/>
  <c r="CG4" i="3"/>
  <c r="AC4" i="3"/>
  <c r="FT4" i="3"/>
  <c r="EY4" i="3"/>
  <c r="CN4" i="3"/>
  <c r="GA4" i="3"/>
  <c r="H4" i="3"/>
  <c r="DW4" i="3"/>
  <c r="FF4" i="3"/>
  <c r="FM4" i="3"/>
  <c r="EK4" i="3"/>
  <c r="AQ4" i="3"/>
  <c r="BZ4" i="3"/>
  <c r="ED4" i="3"/>
  <c r="AJ4" i="3"/>
  <c r="O4" i="3"/>
  <c r="BS4" i="3"/>
  <c r="DP4" i="3"/>
  <c r="BE4" i="3"/>
  <c r="DI4" i="3"/>
  <c r="ER4" i="3"/>
  <c r="V4" i="3"/>
  <c r="CU4" i="3"/>
  <c r="AX4" i="3"/>
  <c r="DB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BDS anchor: spills the full earnings history table for this stock. Security from row 2, field from Control!B5.</t>
        </r>
      </text>
    </comment>
  </commentList>
</comments>
</file>

<file path=xl/sharedStrings.xml><?xml version="1.0" encoding="utf-8"?>
<sst xmlns="http://schemas.openxmlformats.org/spreadsheetml/2006/main" count="3068" uniqueCount="297">
  <si>
    <t>README — Earnings announcement history (Bloomberg BDS)</t>
  </si>
  <si>
    <t>For human readers and AI models: read this sheet before using the data.</t>
  </si>
  <si>
    <t>Key</t>
  </si>
  <si>
    <t>Value</t>
  </si>
  <si>
    <t>content</t>
  </si>
  <si>
    <t>Historical earnings announcement dates/times with EPS, one block per stock.</t>
  </si>
  <si>
    <t>bloomberg_field</t>
  </si>
  <si>
    <t>EARN_ANN_DT_TIME_HIST_WITH_EPS (BDS bulk field; see Control!B5)</t>
  </si>
  <si>
    <t>columns</t>
  </si>
  <si>
    <t>Year/Period | Announcement Date | Announcement Time | Earnings EPS | Comparable EPS | Estimate EPS</t>
  </si>
  <si>
    <t>eps_definitions</t>
  </si>
  <si>
    <t>As defined by Bloomberg for this field. Check FLDS &lt;GO&gt; on the terminal for the exact definitions of Earnings vs Comparable vs Estimate EPS and the time zone of Announcement Time before relying on them.</t>
  </si>
  <si>
    <t>row_order</t>
  </si>
  <si>
    <t>As returned by Bloomberg (not re-sorted in this workbook).</t>
  </si>
  <si>
    <t>history_depth</t>
  </si>
  <si>
    <t>As returned by Bloomberg; varies by stock. Recent listings (PLTR, COIN, HOOD) have short histories.</t>
  </si>
  <si>
    <t>fiscal_periods</t>
  </si>
  <si>
    <t>Year/Period is each company's FISCAL period, not calendar quarter (e.g. AAPL, MSFT, NVDA, ORCL, COST, CRM, ADBE have non-December fiscal years).</t>
  </si>
  <si>
    <t>currency</t>
  </si>
  <si>
    <t>TSM is the NYSE ADR; check EPS currency/ADR ratio basis before comparing to TWSE-listed 2330.</t>
  </si>
  <si>
    <t>layout</t>
  </si>
  <si>
    <t>Data sheet: one 6-column block per stock + 1 spacer column. Row 1 ticker, row 2 Bloomberg security, row 3 headers, data from row 4. Rows are NOT aligned across stocks.</t>
  </si>
  <si>
    <t>source</t>
  </si>
  <si>
    <t>Bloomberg BDS via Excel add-in</t>
  </si>
  <si>
    <t>Earnings Dates Pull — Control Panel</t>
  </si>
  <si>
    <t>Yellow cells are inputs (blue text).</t>
  </si>
  <si>
    <t>Ticker suffix</t>
  </si>
  <si>
    <t xml:space="preserve"> US Equity</t>
  </si>
  <si>
    <t>Appended to each ticker (leading space).</t>
  </si>
  <si>
    <t>BDS field</t>
  </si>
  <si>
    <t>EARN_ANN_DT_TIME_HIST_WITH_EPS</t>
  </si>
  <si>
    <t>From your AAPL formula.</t>
  </si>
  <si>
    <t>Ticker list</t>
  </si>
  <si>
    <t>#</t>
  </si>
  <si>
    <t>Ticker</t>
  </si>
  <si>
    <t>Bloomberg security</t>
  </si>
  <si>
    <t>Block starts at (Data col)</t>
  </si>
  <si>
    <t>Notes</t>
  </si>
  <si>
    <t>AAPL</t>
  </si>
  <si>
    <t>A</t>
  </si>
  <si>
    <t>1. Open in Excel with the Bloomberg add-in logged in; BDS cells show a name error until then.</t>
  </si>
  <si>
    <t>AMZN</t>
  </si>
  <si>
    <t>H</t>
  </si>
  <si>
    <t>2. Bloomberg ribbon &gt; Refresh Worksheet on the Data sheet.</t>
  </si>
  <si>
    <t>GOOGL</t>
  </si>
  <si>
    <t>O</t>
  </si>
  <si>
    <t>3. BDS is a bulk field: each block spills down a variable number of rows.</t>
  </si>
  <si>
    <t>META</t>
  </si>
  <si>
    <t>V</t>
  </si>
  <si>
    <t>4. Once loaded, Paste Values into a new sheet (keep README) so reopening doesn't re-pull.</t>
  </si>
  <si>
    <t>MSFT</t>
  </si>
  <si>
    <t>AC</t>
  </si>
  <si>
    <t>NFLX</t>
  </si>
  <si>
    <t>AJ</t>
  </si>
  <si>
    <t>NVDA</t>
  </si>
  <si>
    <t>AQ</t>
  </si>
  <si>
    <t>PLTR</t>
  </si>
  <si>
    <t>AX</t>
  </si>
  <si>
    <t>TSLA</t>
  </si>
  <si>
    <t>BE</t>
  </si>
  <si>
    <t>TSM</t>
  </si>
  <si>
    <t>BL</t>
  </si>
  <si>
    <t>AVGO</t>
  </si>
  <si>
    <t>BS</t>
  </si>
  <si>
    <t>AMD</t>
  </si>
  <si>
    <t>BZ</t>
  </si>
  <si>
    <t>MU</t>
  </si>
  <si>
    <t>CG</t>
  </si>
  <si>
    <t>MSTR</t>
  </si>
  <si>
    <t>CN</t>
  </si>
  <si>
    <t>COIN</t>
  </si>
  <si>
    <t>CU</t>
  </si>
  <si>
    <t>HOOD</t>
  </si>
  <si>
    <t>DB</t>
  </si>
  <si>
    <t>SHOP</t>
  </si>
  <si>
    <t>DI</t>
  </si>
  <si>
    <t>SMCI</t>
  </si>
  <si>
    <t>DP</t>
  </si>
  <si>
    <t>ORCL</t>
  </si>
  <si>
    <t>DW</t>
  </si>
  <si>
    <t>CRM</t>
  </si>
  <si>
    <t>ED</t>
  </si>
  <si>
    <t>ADBE</t>
  </si>
  <si>
    <t>EK</t>
  </si>
  <si>
    <t>NOW</t>
  </si>
  <si>
    <t>ER</t>
  </si>
  <si>
    <t>LLY</t>
  </si>
  <si>
    <t>EY</t>
  </si>
  <si>
    <t>UNH</t>
  </si>
  <si>
    <t>FF</t>
  </si>
  <si>
    <t>JPM</t>
  </si>
  <si>
    <t>FM</t>
  </si>
  <si>
    <t>COST</t>
  </si>
  <si>
    <t>FT</t>
  </si>
  <si>
    <t>XOM</t>
  </si>
  <si>
    <t>GA</t>
  </si>
  <si>
    <t>Year/Period</t>
  </si>
  <si>
    <t>Announcement Date</t>
  </si>
  <si>
    <t>Announcement Time</t>
  </si>
  <si>
    <t>Earnings EPS</t>
  </si>
  <si>
    <t>Comparable EPS</t>
  </si>
  <si>
    <t>Estimate EPS</t>
  </si>
  <si>
    <t>2026:Q2</t>
  </si>
  <si>
    <t>2026:Q1</t>
  </si>
  <si>
    <t>2025:Q4</t>
  </si>
  <si>
    <t>2025:Q3</t>
  </si>
  <si>
    <t>2025:Q2</t>
  </si>
  <si>
    <t>2025:Q1</t>
  </si>
  <si>
    <t>2024:Q4</t>
  </si>
  <si>
    <t>2024:Q3</t>
  </si>
  <si>
    <t>2024:Q2</t>
  </si>
  <si>
    <t>2024:Q1</t>
  </si>
  <si>
    <t>2023:Q4</t>
  </si>
  <si>
    <t>2023:Q3</t>
  </si>
  <si>
    <t>2023:Q2</t>
  </si>
  <si>
    <t>2023:Q1</t>
  </si>
  <si>
    <t>2022:Q4</t>
  </si>
  <si>
    <t>2022:Q3</t>
  </si>
  <si>
    <t>2022:Q2</t>
  </si>
  <si>
    <t>2022:Q1</t>
  </si>
  <si>
    <t>2021:Q4</t>
  </si>
  <si>
    <t>2021:Q3</t>
  </si>
  <si>
    <t>2021:Q2</t>
  </si>
  <si>
    <t>2021:Q1</t>
  </si>
  <si>
    <t>2020:Q4</t>
  </si>
  <si>
    <t>2020:Q3</t>
  </si>
  <si>
    <t>2020:Q2</t>
  </si>
  <si>
    <t>2020:Q1</t>
  </si>
  <si>
    <t>2019:Q4</t>
  </si>
  <si>
    <t>2019:Q3</t>
  </si>
  <si>
    <t>2019:Q2</t>
  </si>
  <si>
    <t>2019:Q1</t>
  </si>
  <si>
    <t>2018:Q4</t>
  </si>
  <si>
    <t>2018:Q3</t>
  </si>
  <si>
    <t>2018:Q2</t>
  </si>
  <si>
    <t>2018:Q1</t>
  </si>
  <si>
    <t>2017:Q4</t>
  </si>
  <si>
    <t>2017:Q3</t>
  </si>
  <si>
    <t>2017:Q2</t>
  </si>
  <si>
    <t>2017:Q1</t>
  </si>
  <si>
    <t>2016:Q4</t>
  </si>
  <si>
    <t>2016:Q3</t>
  </si>
  <si>
    <t>2016:Q2</t>
  </si>
  <si>
    <t>2016:Q1</t>
  </si>
  <si>
    <t>Bef-mkt</t>
  </si>
  <si>
    <t>2015:Q4</t>
  </si>
  <si>
    <t>2015:Q3</t>
  </si>
  <si>
    <t>2015:Q2</t>
  </si>
  <si>
    <t>2015:Q1</t>
  </si>
  <si>
    <t>2014:Q3</t>
  </si>
  <si>
    <t>2014:Q2</t>
  </si>
  <si>
    <t>2014:Q1</t>
  </si>
  <si>
    <t>2013:Q3</t>
  </si>
  <si>
    <t>2005:Q1</t>
  </si>
  <si>
    <t>2014:Q4</t>
  </si>
  <si>
    <t>2013:Q4</t>
  </si>
  <si>
    <t>2013:Q2</t>
  </si>
  <si>
    <t>2013:Q1</t>
  </si>
  <si>
    <t>2012:Q4</t>
  </si>
  <si>
    <t>2012:Q3</t>
  </si>
  <si>
    <t>2012:Q2</t>
  </si>
  <si>
    <t>2012:Q1</t>
  </si>
  <si>
    <t>2011:Q4</t>
  </si>
  <si>
    <t>2011:Q3</t>
  </si>
  <si>
    <t>Aft-mkt</t>
  </si>
  <si>
    <t>2011:Q2</t>
  </si>
  <si>
    <t>2011:Q1</t>
  </si>
  <si>
    <t>2010:Q4</t>
  </si>
  <si>
    <t>2010:Q3</t>
  </si>
  <si>
    <t>2010:Q2</t>
  </si>
  <si>
    <t>2010:Q1</t>
  </si>
  <si>
    <t>2009:Q4</t>
  </si>
  <si>
    <t>2009:Q3</t>
  </si>
  <si>
    <t>2009:Q2</t>
  </si>
  <si>
    <t>2009:Q1</t>
  </si>
  <si>
    <t>2008:Q4</t>
  </si>
  <si>
    <t>2008:Q3</t>
  </si>
  <si>
    <t>2008:Q2</t>
  </si>
  <si>
    <t>2008:Q1</t>
  </si>
  <si>
    <t>2007:Q4</t>
  </si>
  <si>
    <t>2007:Q3</t>
  </si>
  <si>
    <t>2007:Q2</t>
  </si>
  <si>
    <t>2007:Q1</t>
  </si>
  <si>
    <t>2006:Q4</t>
  </si>
  <si>
    <t>2006:Q3</t>
  </si>
  <si>
    <t>2006:Q2</t>
  </si>
  <si>
    <t>2006:Q1</t>
  </si>
  <si>
    <t>2005:Q4</t>
  </si>
  <si>
    <t>2005:Q3</t>
  </si>
  <si>
    <t>2005:Q2</t>
  </si>
  <si>
    <t>2004:Q3</t>
  </si>
  <si>
    <t>2004:Q2</t>
  </si>
  <si>
    <t>2026:Q4</t>
  </si>
  <si>
    <t>2026:Q3</t>
  </si>
  <si>
    <t>2027:Q2</t>
  </si>
  <si>
    <t>2027:Q1</t>
  </si>
  <si>
    <t>2004:Q4</t>
  </si>
  <si>
    <t>2004:Q1</t>
  </si>
  <si>
    <t>2003:Q4</t>
  </si>
  <si>
    <t>2003:Q3</t>
  </si>
  <si>
    <t>2003:Q2</t>
  </si>
  <si>
    <t>2003:Q1</t>
  </si>
  <si>
    <t>2002:Q4</t>
  </si>
  <si>
    <t>2002:Q3</t>
  </si>
  <si>
    <t>2002:Q2</t>
  </si>
  <si>
    <t>2002:Q1</t>
  </si>
  <si>
    <t>2001:Q4</t>
  </si>
  <si>
    <t>2001:Q3</t>
  </si>
  <si>
    <t>2001:Q2</t>
  </si>
  <si>
    <t>2001:Q1</t>
  </si>
  <si>
    <t>2000:Q4</t>
  </si>
  <si>
    <t>2000:Q3</t>
  </si>
  <si>
    <t>2000:Q2</t>
  </si>
  <si>
    <t>2006:A</t>
  </si>
  <si>
    <t>2006:S1</t>
  </si>
  <si>
    <t>2005:A</t>
  </si>
  <si>
    <t>2005:S1</t>
  </si>
  <si>
    <t>2004:A</t>
  </si>
  <si>
    <t>2004:S1</t>
  </si>
  <si>
    <t>2003:A</t>
  </si>
  <si>
    <t>2003:S1</t>
  </si>
  <si>
    <t>2002:A</t>
  </si>
  <si>
    <t>2000:Q1</t>
  </si>
  <si>
    <t>1999:Q4</t>
  </si>
  <si>
    <t>1999:Q3</t>
  </si>
  <si>
    <t>1999:Q2</t>
  </si>
  <si>
    <t>1999:Q1</t>
  </si>
  <si>
    <t>1998:Q4</t>
  </si>
  <si>
    <t>1998:Q3</t>
  </si>
  <si>
    <t>1998:Q2</t>
  </si>
  <si>
    <t>1998:Q1</t>
  </si>
  <si>
    <t>1997:Q4</t>
  </si>
  <si>
    <t>1992:Q4</t>
  </si>
  <si>
    <t>1992:Q3</t>
  </si>
  <si>
    <t>1992:Q2</t>
  </si>
  <si>
    <t>1992:Q1</t>
  </si>
  <si>
    <t>1991:Q4</t>
  </si>
  <si>
    <t>1991:Q3</t>
  </si>
  <si>
    <t>1991:Q2</t>
  </si>
  <si>
    <t>1991:Q1</t>
  </si>
  <si>
    <t>1990:Q4</t>
  </si>
  <si>
    <t>1990:Q3</t>
  </si>
  <si>
    <t>1990:Q2</t>
  </si>
  <si>
    <t>1990:Q1</t>
  </si>
  <si>
    <t>1994:Q4</t>
  </si>
  <si>
    <t>2027:Q3</t>
  </si>
  <si>
    <t>1997:Q3</t>
  </si>
  <si>
    <t>1997:Q2</t>
  </si>
  <si>
    <t>1996:Q4</t>
  </si>
  <si>
    <t>1996:Q3</t>
  </si>
  <si>
    <t>1996:Q1</t>
  </si>
  <si>
    <t>2025:A</t>
  </si>
  <si>
    <t>2024:A</t>
  </si>
  <si>
    <t>2023:A</t>
  </si>
  <si>
    <t>2022:A</t>
  </si>
  <si>
    <t>2021:A</t>
  </si>
  <si>
    <t>2020:A</t>
  </si>
  <si>
    <t>2019:A</t>
  </si>
  <si>
    <t>2018:A</t>
  </si>
  <si>
    <t>2017:A</t>
  </si>
  <si>
    <t>2016:A</t>
  </si>
  <si>
    <t>2015:A</t>
  </si>
  <si>
    <t>2014:A</t>
  </si>
  <si>
    <t>2013:A</t>
  </si>
  <si>
    <t>2012:A</t>
  </si>
  <si>
    <t>2011:A</t>
  </si>
  <si>
    <t>2010:A</t>
  </si>
  <si>
    <t>2009:A</t>
  </si>
  <si>
    <t>2008:A</t>
  </si>
  <si>
    <t>2007:A</t>
  </si>
  <si>
    <t>2007:S1</t>
  </si>
  <si>
    <t>2006:C2</t>
  </si>
  <si>
    <t>2001:A</t>
  </si>
  <si>
    <t>2000:A</t>
  </si>
  <si>
    <t>1999:A</t>
  </si>
  <si>
    <t>1989:Q4</t>
  </si>
  <si>
    <t>1989:Q3</t>
  </si>
  <si>
    <t>1989:Q2</t>
  </si>
  <si>
    <t>1989:Q1</t>
  </si>
  <si>
    <t>1988:Q4</t>
  </si>
  <si>
    <t>1988:Q3</t>
  </si>
  <si>
    <t>1988:Q2</t>
  </si>
  <si>
    <t>1988:Q1</t>
  </si>
  <si>
    <t>1987:Q4</t>
  </si>
  <si>
    <t>1987:Q3</t>
  </si>
  <si>
    <t>1987:Q2</t>
  </si>
  <si>
    <t>1987:Q1</t>
  </si>
  <si>
    <t>1997:Q1</t>
  </si>
  <si>
    <t>1995:Q4</t>
  </si>
  <si>
    <t>1995:Q3</t>
  </si>
  <si>
    <t>1994:Q3</t>
  </si>
  <si>
    <t>1994:Q2</t>
  </si>
  <si>
    <t>1994:Q1</t>
  </si>
  <si>
    <t>1993:Q4</t>
  </si>
  <si>
    <t>1993:Q2</t>
  </si>
  <si>
    <t>1993:Q1</t>
  </si>
  <si>
    <t>1996:Q2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</si>
</sst>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i/>
      <sz val="9"/>
      <name val="Arial"/>
    </font>
    <font>
      <sz val="10"/>
      <color rgb="FF0000FF"/>
      <name val="Arial"/>
    </font>
    <font>
      <sz val="9"/>
      <color rgb="FF595959"/>
      <name val="Arial"/>
    </font>
    <font>
      <sz val="9"/>
      <name val="Arial"/>
    </font>
    <font>
      <sz val="9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4" fillId="0" borderId="0" xfId="0" applyFont="1"/>
    <xf numFmtId="0" fontId="7" fillId="3" borderId="1" xfId="0" applyFont="1" applyFill="1" applyBorder="1"/>
    <xf numFmtId="0" fontId="8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9" fillId="0" borderId="0" xfId="0" applyFont="1"/>
    <xf numFmtId="0" fontId="10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1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BDS|11825083995136152567</stp>
        <tr r="BL4" s="3"/>
      </tp>
      <tp t="s">
        <v>#N/A N/A</v>
        <stp/>
        <stp>BDS|16368721681127061687</stp>
        <tr r="BE4" s="3"/>
      </tp>
      <tp t="s">
        <v>#N/A N/A</v>
        <stp/>
        <stp>BDS|15134874100005116002</stp>
        <tr r="EY4" s="3"/>
      </tp>
      <tp t="s">
        <v>#N/A N/A</v>
        <stp/>
        <stp>BDS|14477973276082958691</stp>
        <tr r="AX4" s="3"/>
      </tp>
      <tp t="s">
        <v>#N/A N/A</v>
        <stp/>
        <stp>BDS|16102823712553418333</stp>
        <tr r="BZ4" s="3"/>
      </tp>
    </main>
    <main first="bofaddin.rtdserver">
      <tp t="s">
        <v>#N/A N/A</v>
        <stp/>
        <stp>BDS|15816885597050434886</stp>
        <tr r="FM4" s="3"/>
      </tp>
      <tp t="s">
        <v>#N/A N/A</v>
        <stp/>
        <stp>BDS|10633644389070262274</stp>
        <tr r="DW4" s="3"/>
      </tp>
      <tp t="s">
        <v>#N/A N/A</v>
        <stp/>
        <stp>BDS|10151583352453526110</stp>
        <tr r="FF4" s="3"/>
      </tp>
    </main>
    <main first="bofaddin.rtdserver">
      <tp t="s">
        <v>#N/A N/A</v>
        <stp/>
        <stp>BDS|13378472801718837977</stp>
        <tr r="DI4" s="3"/>
      </tp>
      <tp t="s">
        <v>#N/A N/A</v>
        <stp/>
        <stp>BDS|17714480398445660976</stp>
        <tr r="ER4" s="3"/>
      </tp>
      <tp t="s">
        <v>#N/A N/A</v>
        <stp/>
        <stp>BDS|15170386775321473788</stp>
        <tr r="EK4" s="3"/>
      </tp>
      <tp t="s">
        <v>#N/A N/A</v>
        <stp/>
        <stp>BDS|12164729605705364410</stp>
        <tr r="AJ4" s="3"/>
      </tp>
      <tp t="s">
        <v>#N/A N/A</v>
        <stp/>
        <stp>BDS|11251921687360479565</stp>
        <tr r="DP4" s="3"/>
      </tp>
    </main>
    <main first="bofaddin.rtdserver">
      <tp t="s">
        <v>#N/A N/A</v>
        <stp/>
        <stp>BDS|4408424243618381032</stp>
        <tr r="CN4" s="3"/>
      </tp>
      <tp t="s">
        <v>#N/A N/A</v>
        <stp/>
        <stp>BDS|8077316614474893387</stp>
        <tr r="DB4" s="3"/>
      </tp>
      <tp t="s">
        <v>#N/A N/A</v>
        <stp/>
        <stp>BDS|9602756767817473121</stp>
        <tr r="AC4" s="3"/>
      </tp>
      <tp t="s">
        <v>#N/A N/A</v>
        <stp/>
        <stp>BDS|1956901655346224457</stp>
        <tr r="CG4" s="3"/>
      </tp>
      <tp t="s">
        <v>#N/A N/A</v>
        <stp/>
        <stp>BDS|7671430485377074475</stp>
        <tr r="O4" s="3"/>
      </tp>
      <tp t="s">
        <v>#N/A N/A</v>
        <stp/>
        <stp>BDS|3084835715876651504</stp>
        <tr r="ED4" s="3"/>
      </tp>
      <tp t="s">
        <v>#N/A N/A</v>
        <stp/>
        <stp>BDS|8560012227077231934</stp>
        <tr r="BS4" s="3"/>
      </tp>
      <tp t="s">
        <v>#N/A N/A</v>
        <stp/>
        <stp>BDS|3244526837838023978</stp>
        <tr r="A4" s="3"/>
      </tp>
      <tp t="s">
        <v>#N/A N/A</v>
        <stp/>
        <stp>BDS|1581075335671200575</stp>
        <tr r="V4" s="3"/>
      </tp>
      <tp t="s">
        <v>#N/A N/A</v>
        <stp/>
        <stp>BDS|9671644291232608261</stp>
        <tr r="CU4" s="3"/>
      </tp>
      <tp t="s">
        <v>#N/A N/A</v>
        <stp/>
        <stp>BDS|6475268017350927299</stp>
        <tr r="H4" s="3"/>
      </tp>
      <tp t="s">
        <v>#N/A N/A</v>
        <stp/>
        <stp>BDS|9377734698705395338</stp>
        <tr r="FT4" s="3"/>
      </tp>
      <tp t="s">
        <v>#N/A N/A</v>
        <stp/>
        <stp>BDS|6099590739460391128</stp>
        <tr r="AQ4" s="3"/>
      </tp>
      <tp t="s">
        <v>#N/A N/A</v>
        <stp/>
        <stp>BDS|280236028998065317</stp>
        <tr r="GA4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5.05" x14ac:dyDescent="0.3"/>
  <cols>
    <col min="1" max="1" width="20" customWidth="1"/>
    <col min="2" max="2" width="120" customWidth="1"/>
  </cols>
  <sheetData>
    <row r="1" spans="1:2" ht="17.55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3" t="s">
        <v>3</v>
      </c>
    </row>
    <row r="5" spans="1:2" x14ac:dyDescent="0.3">
      <c r="A5" s="4" t="s">
        <v>4</v>
      </c>
      <c r="B5" s="5" t="s">
        <v>5</v>
      </c>
    </row>
    <row r="6" spans="1:2" x14ac:dyDescent="0.3">
      <c r="A6" s="4" t="s">
        <v>6</v>
      </c>
      <c r="B6" s="5" t="s">
        <v>7</v>
      </c>
    </row>
    <row r="7" spans="1:2" x14ac:dyDescent="0.3">
      <c r="A7" s="4" t="s">
        <v>8</v>
      </c>
      <c r="B7" s="5" t="s">
        <v>9</v>
      </c>
    </row>
    <row r="8" spans="1:2" ht="25.05" x14ac:dyDescent="0.3">
      <c r="A8" s="4" t="s">
        <v>10</v>
      </c>
      <c r="B8" s="5" t="s">
        <v>11</v>
      </c>
    </row>
    <row r="9" spans="1:2" x14ac:dyDescent="0.3">
      <c r="A9" s="4" t="s">
        <v>12</v>
      </c>
      <c r="B9" s="5" t="s">
        <v>13</v>
      </c>
    </row>
    <row r="10" spans="1:2" x14ac:dyDescent="0.3">
      <c r="A10" s="4" t="s">
        <v>14</v>
      </c>
      <c r="B10" s="5" t="s">
        <v>15</v>
      </c>
    </row>
    <row r="11" spans="1:2" ht="25.05" x14ac:dyDescent="0.3">
      <c r="A11" s="4" t="s">
        <v>16</v>
      </c>
      <c r="B11" s="5" t="s">
        <v>17</v>
      </c>
    </row>
    <row r="12" spans="1:2" x14ac:dyDescent="0.3">
      <c r="A12" s="4" t="s">
        <v>18</v>
      </c>
      <c r="B12" s="5" t="s">
        <v>19</v>
      </c>
    </row>
    <row r="13" spans="1:2" ht="25.05" x14ac:dyDescent="0.3">
      <c r="A13" s="4" t="s">
        <v>20</v>
      </c>
      <c r="B13" s="5" t="s">
        <v>21</v>
      </c>
    </row>
    <row r="14" spans="1:2" x14ac:dyDescent="0.3">
      <c r="A14" s="4" t="s">
        <v>22</v>
      </c>
      <c r="B14" s="5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/>
  </sheetViews>
  <sheetFormatPr defaultRowHeight="15.05" x14ac:dyDescent="0.3"/>
  <cols>
    <col min="1" max="1" width="14" customWidth="1"/>
    <col min="2" max="2" width="34" customWidth="1"/>
    <col min="3" max="3" width="24" customWidth="1"/>
    <col min="4" max="4" width="14" customWidth="1"/>
    <col min="6" max="6" width="90" customWidth="1"/>
  </cols>
  <sheetData>
    <row r="1" spans="1:6" ht="17.55" x14ac:dyDescent="0.3">
      <c r="A1" s="1" t="s">
        <v>24</v>
      </c>
    </row>
    <row r="2" spans="1:6" x14ac:dyDescent="0.3">
      <c r="A2" s="6" t="s">
        <v>25</v>
      </c>
    </row>
    <row r="4" spans="1:6" x14ac:dyDescent="0.3">
      <c r="A4" s="7" t="s">
        <v>26</v>
      </c>
      <c r="B4" s="8" t="s">
        <v>27</v>
      </c>
      <c r="C4" s="9" t="s">
        <v>28</v>
      </c>
    </row>
    <row r="5" spans="1:6" x14ac:dyDescent="0.3">
      <c r="A5" s="7" t="s">
        <v>29</v>
      </c>
      <c r="B5" s="8" t="s">
        <v>30</v>
      </c>
      <c r="C5" s="9" t="s">
        <v>31</v>
      </c>
    </row>
    <row r="8" spans="1:6" ht="17.55" x14ac:dyDescent="0.3">
      <c r="A8" s="1" t="s">
        <v>32</v>
      </c>
    </row>
    <row r="9" spans="1:6" ht="26.3" x14ac:dyDescent="0.3">
      <c r="A9" s="10" t="s">
        <v>33</v>
      </c>
      <c r="B9" s="10" t="s">
        <v>34</v>
      </c>
      <c r="C9" s="10" t="s">
        <v>35</v>
      </c>
      <c r="D9" s="10" t="s">
        <v>36</v>
      </c>
      <c r="F9" s="7" t="s">
        <v>37</v>
      </c>
    </row>
    <row r="10" spans="1:6" x14ac:dyDescent="0.3">
      <c r="A10" s="11">
        <v>1</v>
      </c>
      <c r="B10" s="8" t="s">
        <v>38</v>
      </c>
      <c r="C10" s="11" t="str">
        <f t="shared" ref="C10:C36" si="0">B10&amp;TkrSuffix</f>
        <v>AAPL US Equity</v>
      </c>
      <c r="D10" s="11" t="s">
        <v>39</v>
      </c>
      <c r="F10" s="12" t="s">
        <v>40</v>
      </c>
    </row>
    <row r="11" spans="1:6" x14ac:dyDescent="0.3">
      <c r="A11" s="11">
        <v>2</v>
      </c>
      <c r="B11" s="8" t="s">
        <v>41</v>
      </c>
      <c r="C11" s="11" t="str">
        <f t="shared" si="0"/>
        <v>AMZN US Equity</v>
      </c>
      <c r="D11" s="11" t="s">
        <v>42</v>
      </c>
      <c r="F11" s="12" t="s">
        <v>43</v>
      </c>
    </row>
    <row r="12" spans="1:6" x14ac:dyDescent="0.3">
      <c r="A12" s="11">
        <v>3</v>
      </c>
      <c r="B12" s="8" t="s">
        <v>44</v>
      </c>
      <c r="C12" s="11" t="str">
        <f t="shared" si="0"/>
        <v>GOOGL US Equity</v>
      </c>
      <c r="D12" s="11" t="s">
        <v>45</v>
      </c>
      <c r="F12" s="12" t="s">
        <v>46</v>
      </c>
    </row>
    <row r="13" spans="1:6" x14ac:dyDescent="0.3">
      <c r="A13" s="11">
        <v>4</v>
      </c>
      <c r="B13" s="8" t="s">
        <v>47</v>
      </c>
      <c r="C13" s="11" t="str">
        <f t="shared" si="0"/>
        <v>META US Equity</v>
      </c>
      <c r="D13" s="11" t="s">
        <v>48</v>
      </c>
      <c r="F13" s="12" t="s">
        <v>49</v>
      </c>
    </row>
    <row r="14" spans="1:6" x14ac:dyDescent="0.3">
      <c r="A14" s="11">
        <v>5</v>
      </c>
      <c r="B14" s="8" t="s">
        <v>50</v>
      </c>
      <c r="C14" s="11" t="str">
        <f t="shared" si="0"/>
        <v>MSFT US Equity</v>
      </c>
      <c r="D14" s="11" t="s">
        <v>51</v>
      </c>
    </row>
    <row r="15" spans="1:6" x14ac:dyDescent="0.3">
      <c r="A15" s="11">
        <v>6</v>
      </c>
      <c r="B15" s="8" t="s">
        <v>52</v>
      </c>
      <c r="C15" s="11" t="str">
        <f t="shared" si="0"/>
        <v>NFLX US Equity</v>
      </c>
      <c r="D15" s="11" t="s">
        <v>53</v>
      </c>
    </row>
    <row r="16" spans="1:6" x14ac:dyDescent="0.3">
      <c r="A16" s="11">
        <v>7</v>
      </c>
      <c r="B16" s="8" t="s">
        <v>54</v>
      </c>
      <c r="C16" s="11" t="str">
        <f t="shared" si="0"/>
        <v>NVDA US Equity</v>
      </c>
      <c r="D16" s="11" t="s">
        <v>55</v>
      </c>
    </row>
    <row r="17" spans="1:4" x14ac:dyDescent="0.3">
      <c r="A17" s="11">
        <v>8</v>
      </c>
      <c r="B17" s="8" t="s">
        <v>56</v>
      </c>
      <c r="C17" s="11" t="str">
        <f t="shared" si="0"/>
        <v>PLTR US Equity</v>
      </c>
      <c r="D17" s="11" t="s">
        <v>57</v>
      </c>
    </row>
    <row r="18" spans="1:4" x14ac:dyDescent="0.3">
      <c r="A18" s="11">
        <v>9</v>
      </c>
      <c r="B18" s="8" t="s">
        <v>58</v>
      </c>
      <c r="C18" s="11" t="str">
        <f t="shared" si="0"/>
        <v>TSLA US Equity</v>
      </c>
      <c r="D18" s="11" t="s">
        <v>59</v>
      </c>
    </row>
    <row r="19" spans="1:4" x14ac:dyDescent="0.3">
      <c r="A19" s="11">
        <v>10</v>
      </c>
      <c r="B19" s="8" t="s">
        <v>60</v>
      </c>
      <c r="C19" s="11" t="str">
        <f t="shared" si="0"/>
        <v>TSM US Equity</v>
      </c>
      <c r="D19" s="11" t="s">
        <v>61</v>
      </c>
    </row>
    <row r="20" spans="1:4" x14ac:dyDescent="0.3">
      <c r="A20" s="11">
        <v>11</v>
      </c>
      <c r="B20" s="8" t="s">
        <v>62</v>
      </c>
      <c r="C20" s="11" t="str">
        <f t="shared" si="0"/>
        <v>AVGO US Equity</v>
      </c>
      <c r="D20" s="11" t="s">
        <v>63</v>
      </c>
    </row>
    <row r="21" spans="1:4" x14ac:dyDescent="0.3">
      <c r="A21" s="11">
        <v>12</v>
      </c>
      <c r="B21" s="8" t="s">
        <v>64</v>
      </c>
      <c r="C21" s="11" t="str">
        <f t="shared" si="0"/>
        <v>AMD US Equity</v>
      </c>
      <c r="D21" s="11" t="s">
        <v>65</v>
      </c>
    </row>
    <row r="22" spans="1:4" x14ac:dyDescent="0.3">
      <c r="A22" s="11">
        <v>13</v>
      </c>
      <c r="B22" s="8" t="s">
        <v>66</v>
      </c>
      <c r="C22" s="11" t="str">
        <f t="shared" si="0"/>
        <v>MU US Equity</v>
      </c>
      <c r="D22" s="11" t="s">
        <v>67</v>
      </c>
    </row>
    <row r="23" spans="1:4" x14ac:dyDescent="0.3">
      <c r="A23" s="11">
        <v>14</v>
      </c>
      <c r="B23" s="8" t="s">
        <v>68</v>
      </c>
      <c r="C23" s="11" t="str">
        <f t="shared" si="0"/>
        <v>MSTR US Equity</v>
      </c>
      <c r="D23" s="11" t="s">
        <v>69</v>
      </c>
    </row>
    <row r="24" spans="1:4" x14ac:dyDescent="0.3">
      <c r="A24" s="11">
        <v>15</v>
      </c>
      <c r="B24" s="8" t="s">
        <v>70</v>
      </c>
      <c r="C24" s="11" t="str">
        <f t="shared" si="0"/>
        <v>COIN US Equity</v>
      </c>
      <c r="D24" s="11" t="s">
        <v>71</v>
      </c>
    </row>
    <row r="25" spans="1:4" x14ac:dyDescent="0.3">
      <c r="A25" s="11">
        <v>16</v>
      </c>
      <c r="B25" s="8" t="s">
        <v>72</v>
      </c>
      <c r="C25" s="11" t="str">
        <f t="shared" si="0"/>
        <v>HOOD US Equity</v>
      </c>
      <c r="D25" s="11" t="s">
        <v>73</v>
      </c>
    </row>
    <row r="26" spans="1:4" x14ac:dyDescent="0.3">
      <c r="A26" s="11">
        <v>17</v>
      </c>
      <c r="B26" s="8" t="s">
        <v>74</v>
      </c>
      <c r="C26" s="11" t="str">
        <f t="shared" si="0"/>
        <v>SHOP US Equity</v>
      </c>
      <c r="D26" s="11" t="s">
        <v>75</v>
      </c>
    </row>
    <row r="27" spans="1:4" x14ac:dyDescent="0.3">
      <c r="A27" s="11">
        <v>18</v>
      </c>
      <c r="B27" s="8" t="s">
        <v>76</v>
      </c>
      <c r="C27" s="11" t="str">
        <f t="shared" si="0"/>
        <v>SMCI US Equity</v>
      </c>
      <c r="D27" s="11" t="s">
        <v>77</v>
      </c>
    </row>
    <row r="28" spans="1:4" x14ac:dyDescent="0.3">
      <c r="A28" s="11">
        <v>19</v>
      </c>
      <c r="B28" s="8" t="s">
        <v>78</v>
      </c>
      <c r="C28" s="11" t="str">
        <f t="shared" si="0"/>
        <v>ORCL US Equity</v>
      </c>
      <c r="D28" s="11" t="s">
        <v>79</v>
      </c>
    </row>
    <row r="29" spans="1:4" x14ac:dyDescent="0.3">
      <c r="A29" s="11">
        <v>20</v>
      </c>
      <c r="B29" s="8" t="s">
        <v>80</v>
      </c>
      <c r="C29" s="11" t="str">
        <f t="shared" si="0"/>
        <v>CRM US Equity</v>
      </c>
      <c r="D29" s="11" t="s">
        <v>81</v>
      </c>
    </row>
    <row r="30" spans="1:4" x14ac:dyDescent="0.3">
      <c r="A30" s="11">
        <v>21</v>
      </c>
      <c r="B30" s="8" t="s">
        <v>82</v>
      </c>
      <c r="C30" s="11" t="str">
        <f t="shared" si="0"/>
        <v>ADBE US Equity</v>
      </c>
      <c r="D30" s="11" t="s">
        <v>83</v>
      </c>
    </row>
    <row r="31" spans="1:4" x14ac:dyDescent="0.3">
      <c r="A31" s="11">
        <v>22</v>
      </c>
      <c r="B31" s="8" t="s">
        <v>84</v>
      </c>
      <c r="C31" s="11" t="str">
        <f t="shared" si="0"/>
        <v>NOW US Equity</v>
      </c>
      <c r="D31" s="11" t="s">
        <v>85</v>
      </c>
    </row>
    <row r="32" spans="1:4" x14ac:dyDescent="0.3">
      <c r="A32" s="11">
        <v>23</v>
      </c>
      <c r="B32" s="8" t="s">
        <v>86</v>
      </c>
      <c r="C32" s="11" t="str">
        <f t="shared" si="0"/>
        <v>LLY US Equity</v>
      </c>
      <c r="D32" s="11" t="s">
        <v>87</v>
      </c>
    </row>
    <row r="33" spans="1:4" x14ac:dyDescent="0.3">
      <c r="A33" s="11">
        <v>24</v>
      </c>
      <c r="B33" s="8" t="s">
        <v>88</v>
      </c>
      <c r="C33" s="11" t="str">
        <f t="shared" si="0"/>
        <v>UNH US Equity</v>
      </c>
      <c r="D33" s="11" t="s">
        <v>89</v>
      </c>
    </row>
    <row r="34" spans="1:4" x14ac:dyDescent="0.3">
      <c r="A34" s="11">
        <v>25</v>
      </c>
      <c r="B34" s="8" t="s">
        <v>90</v>
      </c>
      <c r="C34" s="11" t="str">
        <f t="shared" si="0"/>
        <v>JPM US Equity</v>
      </c>
      <c r="D34" s="11" t="s">
        <v>91</v>
      </c>
    </row>
    <row r="35" spans="1:4" x14ac:dyDescent="0.3">
      <c r="A35" s="11">
        <v>26</v>
      </c>
      <c r="B35" s="8" t="s">
        <v>92</v>
      </c>
      <c r="C35" s="11" t="str">
        <f t="shared" si="0"/>
        <v>COST US Equity</v>
      </c>
      <c r="D35" s="11" t="s">
        <v>93</v>
      </c>
    </row>
    <row r="36" spans="1:4" x14ac:dyDescent="0.3">
      <c r="A36" s="11">
        <v>27</v>
      </c>
      <c r="B36" s="8" t="s">
        <v>94</v>
      </c>
      <c r="C36" s="11" t="str">
        <f t="shared" si="0"/>
        <v>XOM US Equity</v>
      </c>
      <c r="D36" s="11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F144"/>
  <sheetViews>
    <sheetView tabSelected="1" workbookViewId="0">
      <pane ySplit="3" topLeftCell="A4" activePane="bottomLeft" state="frozen"/>
      <selection pane="bottomLeft" sqref="A1:XFD1048576"/>
    </sheetView>
  </sheetViews>
  <sheetFormatPr defaultRowHeight="15.05" x14ac:dyDescent="0.3"/>
  <cols>
    <col min="1" max="6" width="12" customWidth="1"/>
    <col min="7" max="7" width="2" customWidth="1"/>
    <col min="8" max="13" width="12" customWidth="1"/>
    <col min="14" max="14" width="2" customWidth="1"/>
    <col min="15" max="20" width="12" customWidth="1"/>
    <col min="21" max="21" width="2" customWidth="1"/>
    <col min="22" max="27" width="12" customWidth="1"/>
    <col min="28" max="28" width="2" customWidth="1"/>
    <col min="29" max="34" width="12" customWidth="1"/>
    <col min="35" max="35" width="2" customWidth="1"/>
    <col min="36" max="41" width="12" customWidth="1"/>
    <col min="42" max="42" width="2" customWidth="1"/>
    <col min="43" max="48" width="12" customWidth="1"/>
    <col min="49" max="49" width="2" customWidth="1"/>
    <col min="50" max="55" width="12" customWidth="1"/>
    <col min="56" max="56" width="2" customWidth="1"/>
    <col min="57" max="62" width="12" customWidth="1"/>
    <col min="63" max="63" width="2" customWidth="1"/>
    <col min="64" max="69" width="12" customWidth="1"/>
    <col min="70" max="70" width="2" customWidth="1"/>
    <col min="71" max="76" width="12" customWidth="1"/>
    <col min="77" max="77" width="2" customWidth="1"/>
    <col min="78" max="83" width="12" customWidth="1"/>
    <col min="84" max="84" width="2" customWidth="1"/>
    <col min="85" max="90" width="12" customWidth="1"/>
    <col min="91" max="91" width="2" customWidth="1"/>
    <col min="92" max="97" width="12" customWidth="1"/>
    <col min="98" max="98" width="2" customWidth="1"/>
    <col min="99" max="104" width="12" customWidth="1"/>
    <col min="105" max="105" width="2" customWidth="1"/>
    <col min="106" max="111" width="12" customWidth="1"/>
    <col min="112" max="112" width="2" customWidth="1"/>
    <col min="113" max="118" width="12" customWidth="1"/>
    <col min="119" max="119" width="2" customWidth="1"/>
    <col min="120" max="125" width="12" customWidth="1"/>
    <col min="126" max="126" width="2" customWidth="1"/>
    <col min="127" max="132" width="12" customWidth="1"/>
    <col min="133" max="133" width="2" customWidth="1"/>
    <col min="134" max="139" width="12" customWidth="1"/>
    <col min="140" max="140" width="2" customWidth="1"/>
    <col min="141" max="146" width="12" customWidth="1"/>
    <col min="147" max="147" width="2" customWidth="1"/>
    <col min="148" max="153" width="12" customWidth="1"/>
    <col min="154" max="154" width="2" customWidth="1"/>
    <col min="155" max="160" width="12" customWidth="1"/>
    <col min="161" max="161" width="2" customWidth="1"/>
    <col min="162" max="167" width="12" customWidth="1"/>
    <col min="168" max="168" width="2" customWidth="1"/>
    <col min="169" max="174" width="12" customWidth="1"/>
    <col min="175" max="175" width="2" customWidth="1"/>
    <col min="176" max="181" width="12" customWidth="1"/>
    <col min="182" max="182" width="2" customWidth="1"/>
    <col min="183" max="188" width="12" customWidth="1"/>
    <col min="189" max="189" width="2" customWidth="1"/>
  </cols>
  <sheetData>
    <row r="1" spans="1:188" x14ac:dyDescent="0.3">
      <c r="A1" s="16" t="str">
        <f>Control!$B$10</f>
        <v>AAPL</v>
      </c>
      <c r="B1" s="17"/>
      <c r="C1" s="17"/>
      <c r="D1" s="17"/>
      <c r="E1" s="17"/>
      <c r="F1" s="17"/>
      <c r="H1" s="16" t="str">
        <f>Control!$B$11</f>
        <v>AMZN</v>
      </c>
      <c r="I1" s="17"/>
      <c r="J1" s="17"/>
      <c r="K1" s="17"/>
      <c r="L1" s="17"/>
      <c r="M1" s="17"/>
      <c r="O1" s="16" t="str">
        <f>Control!$B$12</f>
        <v>GOOGL</v>
      </c>
      <c r="P1" s="17"/>
      <c r="Q1" s="17"/>
      <c r="R1" s="17"/>
      <c r="S1" s="17"/>
      <c r="T1" s="17"/>
      <c r="V1" s="16" t="str">
        <f>Control!$B$13</f>
        <v>META</v>
      </c>
      <c r="W1" s="17"/>
      <c r="X1" s="17"/>
      <c r="Y1" s="17"/>
      <c r="Z1" s="17"/>
      <c r="AA1" s="17"/>
      <c r="AC1" s="16" t="str">
        <f>Control!$B$14</f>
        <v>MSFT</v>
      </c>
      <c r="AD1" s="17"/>
      <c r="AE1" s="17"/>
      <c r="AF1" s="17"/>
      <c r="AG1" s="17"/>
      <c r="AH1" s="17"/>
      <c r="AJ1" s="16" t="str">
        <f>Control!$B$15</f>
        <v>NFLX</v>
      </c>
      <c r="AK1" s="17"/>
      <c r="AL1" s="17"/>
      <c r="AM1" s="17"/>
      <c r="AN1" s="17"/>
      <c r="AO1" s="17"/>
      <c r="AQ1" s="16" t="str">
        <f>Control!$B$16</f>
        <v>NVDA</v>
      </c>
      <c r="AR1" s="17"/>
      <c r="AS1" s="17"/>
      <c r="AT1" s="17"/>
      <c r="AU1" s="17"/>
      <c r="AV1" s="17"/>
      <c r="AX1" s="16" t="str">
        <f>Control!$B$17</f>
        <v>PLTR</v>
      </c>
      <c r="AY1" s="17"/>
      <c r="AZ1" s="17"/>
      <c r="BA1" s="17"/>
      <c r="BB1" s="17"/>
      <c r="BC1" s="17"/>
      <c r="BE1" s="16" t="str">
        <f>Control!$B$18</f>
        <v>TSLA</v>
      </c>
      <c r="BF1" s="17"/>
      <c r="BG1" s="17"/>
      <c r="BH1" s="17"/>
      <c r="BI1" s="17"/>
      <c r="BJ1" s="17"/>
      <c r="BL1" s="16" t="str">
        <f>Control!$B$19</f>
        <v>TSM</v>
      </c>
      <c r="BM1" s="17"/>
      <c r="BN1" s="17"/>
      <c r="BO1" s="17"/>
      <c r="BP1" s="17"/>
      <c r="BQ1" s="17"/>
      <c r="BS1" s="16" t="str">
        <f>Control!$B$20</f>
        <v>AVGO</v>
      </c>
      <c r="BT1" s="17"/>
      <c r="BU1" s="17"/>
      <c r="BV1" s="17"/>
      <c r="BW1" s="17"/>
      <c r="BX1" s="17"/>
      <c r="BZ1" s="16" t="str">
        <f>Control!$B$21</f>
        <v>AMD</v>
      </c>
      <c r="CA1" s="17"/>
      <c r="CB1" s="17"/>
      <c r="CC1" s="17"/>
      <c r="CD1" s="17"/>
      <c r="CE1" s="17"/>
      <c r="CG1" s="16" t="str">
        <f>Control!$B$22</f>
        <v>MU</v>
      </c>
      <c r="CH1" s="17"/>
      <c r="CI1" s="17"/>
      <c r="CJ1" s="17"/>
      <c r="CK1" s="17"/>
      <c r="CL1" s="17"/>
      <c r="CN1" s="16" t="str">
        <f>Control!$B$23</f>
        <v>MSTR</v>
      </c>
      <c r="CO1" s="17"/>
      <c r="CP1" s="17"/>
      <c r="CQ1" s="17"/>
      <c r="CR1" s="17"/>
      <c r="CS1" s="17"/>
      <c r="CU1" s="16" t="str">
        <f>Control!$B$24</f>
        <v>COIN</v>
      </c>
      <c r="CV1" s="17"/>
      <c r="CW1" s="17"/>
      <c r="CX1" s="17"/>
      <c r="CY1" s="17"/>
      <c r="CZ1" s="17"/>
      <c r="DB1" s="16" t="str">
        <f>Control!$B$25</f>
        <v>HOOD</v>
      </c>
      <c r="DC1" s="17"/>
      <c r="DD1" s="17"/>
      <c r="DE1" s="17"/>
      <c r="DF1" s="17"/>
      <c r="DG1" s="17"/>
      <c r="DI1" s="16" t="str">
        <f>Control!$B$26</f>
        <v>SHOP</v>
      </c>
      <c r="DJ1" s="17"/>
      <c r="DK1" s="17"/>
      <c r="DL1" s="17"/>
      <c r="DM1" s="17"/>
      <c r="DN1" s="17"/>
      <c r="DP1" s="16" t="str">
        <f>Control!$B$27</f>
        <v>SMCI</v>
      </c>
      <c r="DQ1" s="17"/>
      <c r="DR1" s="17"/>
      <c r="DS1" s="17"/>
      <c r="DT1" s="17"/>
      <c r="DU1" s="17"/>
      <c r="DW1" s="16" t="str">
        <f>Control!$B$28</f>
        <v>ORCL</v>
      </c>
      <c r="DX1" s="17"/>
      <c r="DY1" s="17"/>
      <c r="DZ1" s="17"/>
      <c r="EA1" s="17"/>
      <c r="EB1" s="17"/>
      <c r="ED1" s="16" t="str">
        <f>Control!$B$29</f>
        <v>CRM</v>
      </c>
      <c r="EE1" s="17"/>
      <c r="EF1" s="17"/>
      <c r="EG1" s="17"/>
      <c r="EH1" s="17"/>
      <c r="EI1" s="17"/>
      <c r="EK1" s="16" t="str">
        <f>Control!$B$30</f>
        <v>ADBE</v>
      </c>
      <c r="EL1" s="17"/>
      <c r="EM1" s="17"/>
      <c r="EN1" s="17"/>
      <c r="EO1" s="17"/>
      <c r="EP1" s="17"/>
      <c r="ER1" s="16" t="str">
        <f>Control!$B$31</f>
        <v>NOW</v>
      </c>
      <c r="ES1" s="17"/>
      <c r="ET1" s="17"/>
      <c r="EU1" s="17"/>
      <c r="EV1" s="17"/>
      <c r="EW1" s="17"/>
      <c r="EY1" s="16" t="str">
        <f>Control!$B$32</f>
        <v>LLY</v>
      </c>
      <c r="EZ1" s="17"/>
      <c r="FA1" s="17"/>
      <c r="FB1" s="17"/>
      <c r="FC1" s="17"/>
      <c r="FD1" s="17"/>
      <c r="FF1" s="16" t="str">
        <f>Control!$B$33</f>
        <v>UNH</v>
      </c>
      <c r="FG1" s="17"/>
      <c r="FH1" s="17"/>
      <c r="FI1" s="17"/>
      <c r="FJ1" s="17"/>
      <c r="FK1" s="17"/>
      <c r="FM1" s="16" t="str">
        <f>Control!$B$34</f>
        <v>JPM</v>
      </c>
      <c r="FN1" s="17"/>
      <c r="FO1" s="17"/>
      <c r="FP1" s="17"/>
      <c r="FQ1" s="17"/>
      <c r="FR1" s="17"/>
      <c r="FT1" s="16" t="str">
        <f>Control!$B$35</f>
        <v>COST</v>
      </c>
      <c r="FU1" s="17"/>
      <c r="FV1" s="17"/>
      <c r="FW1" s="17"/>
      <c r="FX1" s="17"/>
      <c r="FY1" s="17"/>
      <c r="GA1" s="16" t="str">
        <f>Control!$B$36</f>
        <v>XOM</v>
      </c>
      <c r="GB1" s="17"/>
      <c r="GC1" s="17"/>
      <c r="GD1" s="17"/>
      <c r="GE1" s="17"/>
      <c r="GF1" s="17"/>
    </row>
    <row r="2" spans="1:188" x14ac:dyDescent="0.3">
      <c r="A2" s="13" t="str">
        <f>Control!$C$10</f>
        <v>AAPL US Equity</v>
      </c>
      <c r="H2" s="13" t="str">
        <f>Control!$C$11</f>
        <v>AMZN US Equity</v>
      </c>
      <c r="O2" s="13" t="str">
        <f>Control!$C$12</f>
        <v>GOOGL US Equity</v>
      </c>
      <c r="V2" s="13" t="str">
        <f>Control!$C$13</f>
        <v>META US Equity</v>
      </c>
      <c r="AC2" s="13" t="str">
        <f>Control!$C$14</f>
        <v>MSFT US Equity</v>
      </c>
      <c r="AJ2" s="13" t="str">
        <f>Control!$C$15</f>
        <v>NFLX US Equity</v>
      </c>
      <c r="AQ2" s="13" t="str">
        <f>Control!$C$16</f>
        <v>NVDA US Equity</v>
      </c>
      <c r="AX2" s="13" t="str">
        <f>Control!$C$17</f>
        <v>PLTR US Equity</v>
      </c>
      <c r="BE2" s="13" t="str">
        <f>Control!$C$18</f>
        <v>TSLA US Equity</v>
      </c>
      <c r="BL2" s="13" t="str">
        <f>Control!$C$19</f>
        <v>TSM US Equity</v>
      </c>
      <c r="BS2" s="13" t="str">
        <f>Control!$C$20</f>
        <v>AVGO US Equity</v>
      </c>
      <c r="BZ2" s="13" t="str">
        <f>Control!$C$21</f>
        <v>AMD US Equity</v>
      </c>
      <c r="CG2" s="13" t="str">
        <f>Control!$C$22</f>
        <v>MU US Equity</v>
      </c>
      <c r="CN2" s="13" t="str">
        <f>Control!$C$23</f>
        <v>MSTR US Equity</v>
      </c>
      <c r="CU2" s="13" t="str">
        <f>Control!$C$24</f>
        <v>COIN US Equity</v>
      </c>
      <c r="DB2" s="13" t="str">
        <f>Control!$C$25</f>
        <v>HOOD US Equity</v>
      </c>
      <c r="DI2" s="13" t="str">
        <f>Control!$C$26</f>
        <v>SHOP US Equity</v>
      </c>
      <c r="DP2" s="13" t="str">
        <f>Control!$C$27</f>
        <v>SMCI US Equity</v>
      </c>
      <c r="DW2" s="13" t="str">
        <f>Control!$C$28</f>
        <v>ORCL US Equity</v>
      </c>
      <c r="ED2" s="13" t="str">
        <f>Control!$C$29</f>
        <v>CRM US Equity</v>
      </c>
      <c r="EK2" s="13" t="str">
        <f>Control!$C$30</f>
        <v>ADBE US Equity</v>
      </c>
      <c r="ER2" s="13" t="str">
        <f>Control!$C$31</f>
        <v>NOW US Equity</v>
      </c>
      <c r="EY2" s="13" t="str">
        <f>Control!$C$32</f>
        <v>LLY US Equity</v>
      </c>
      <c r="FF2" s="13" t="str">
        <f>Control!$C$33</f>
        <v>UNH US Equity</v>
      </c>
      <c r="FM2" s="13" t="str">
        <f>Control!$C$34</f>
        <v>JPM US Equity</v>
      </c>
      <c r="FT2" s="13" t="str">
        <f>Control!$C$35</f>
        <v>COST US Equity</v>
      </c>
      <c r="GA2" s="13" t="str">
        <f>Control!$C$36</f>
        <v>XOM US Equity</v>
      </c>
    </row>
    <row r="3" spans="1:188" ht="30.05" customHeight="1" x14ac:dyDescent="0.3">
      <c r="A3" s="14" t="s">
        <v>96</v>
      </c>
      <c r="B3" s="14" t="s">
        <v>97</v>
      </c>
      <c r="C3" s="14" t="s">
        <v>98</v>
      </c>
      <c r="D3" s="14" t="s">
        <v>99</v>
      </c>
      <c r="E3" s="14" t="s">
        <v>100</v>
      </c>
      <c r="F3" s="14" t="s">
        <v>101</v>
      </c>
      <c r="H3" s="14" t="s">
        <v>96</v>
      </c>
      <c r="I3" s="14" t="s">
        <v>97</v>
      </c>
      <c r="J3" s="14" t="s">
        <v>98</v>
      </c>
      <c r="K3" s="14" t="s">
        <v>99</v>
      </c>
      <c r="L3" s="14" t="s">
        <v>100</v>
      </c>
      <c r="M3" s="14" t="s">
        <v>101</v>
      </c>
      <c r="O3" s="14" t="s">
        <v>96</v>
      </c>
      <c r="P3" s="14" t="s">
        <v>97</v>
      </c>
      <c r="Q3" s="14" t="s">
        <v>98</v>
      </c>
      <c r="R3" s="14" t="s">
        <v>99</v>
      </c>
      <c r="S3" s="14" t="s">
        <v>100</v>
      </c>
      <c r="T3" s="14" t="s">
        <v>101</v>
      </c>
      <c r="V3" s="14" t="s">
        <v>96</v>
      </c>
      <c r="W3" s="14" t="s">
        <v>97</v>
      </c>
      <c r="X3" s="14" t="s">
        <v>98</v>
      </c>
      <c r="Y3" s="14" t="s">
        <v>99</v>
      </c>
      <c r="Z3" s="14" t="s">
        <v>100</v>
      </c>
      <c r="AA3" s="14" t="s">
        <v>101</v>
      </c>
      <c r="AC3" s="14" t="s">
        <v>96</v>
      </c>
      <c r="AD3" s="14" t="s">
        <v>97</v>
      </c>
      <c r="AE3" s="14" t="s">
        <v>98</v>
      </c>
      <c r="AF3" s="14" t="s">
        <v>99</v>
      </c>
      <c r="AG3" s="14" t="s">
        <v>100</v>
      </c>
      <c r="AH3" s="14" t="s">
        <v>101</v>
      </c>
      <c r="AJ3" s="14" t="s">
        <v>96</v>
      </c>
      <c r="AK3" s="14" t="s">
        <v>97</v>
      </c>
      <c r="AL3" s="14" t="s">
        <v>98</v>
      </c>
      <c r="AM3" s="14" t="s">
        <v>99</v>
      </c>
      <c r="AN3" s="14" t="s">
        <v>100</v>
      </c>
      <c r="AO3" s="14" t="s">
        <v>101</v>
      </c>
      <c r="AQ3" s="14" t="s">
        <v>96</v>
      </c>
      <c r="AR3" s="14" t="s">
        <v>97</v>
      </c>
      <c r="AS3" s="14" t="s">
        <v>98</v>
      </c>
      <c r="AT3" s="14" t="s">
        <v>99</v>
      </c>
      <c r="AU3" s="14" t="s">
        <v>100</v>
      </c>
      <c r="AV3" s="14" t="s">
        <v>101</v>
      </c>
      <c r="AX3" s="14" t="s">
        <v>96</v>
      </c>
      <c r="AY3" s="14" t="s">
        <v>97</v>
      </c>
      <c r="AZ3" s="14" t="s">
        <v>98</v>
      </c>
      <c r="BA3" s="14" t="s">
        <v>99</v>
      </c>
      <c r="BB3" s="14" t="s">
        <v>100</v>
      </c>
      <c r="BC3" s="14" t="s">
        <v>101</v>
      </c>
      <c r="BE3" s="14" t="s">
        <v>96</v>
      </c>
      <c r="BF3" s="14" t="s">
        <v>97</v>
      </c>
      <c r="BG3" s="14" t="s">
        <v>98</v>
      </c>
      <c r="BH3" s="14" t="s">
        <v>99</v>
      </c>
      <c r="BI3" s="14" t="s">
        <v>100</v>
      </c>
      <c r="BJ3" s="14" t="s">
        <v>101</v>
      </c>
      <c r="BL3" s="14" t="s">
        <v>96</v>
      </c>
      <c r="BM3" s="14" t="s">
        <v>97</v>
      </c>
      <c r="BN3" s="14" t="s">
        <v>98</v>
      </c>
      <c r="BO3" s="14" t="s">
        <v>99</v>
      </c>
      <c r="BP3" s="14" t="s">
        <v>100</v>
      </c>
      <c r="BQ3" s="14" t="s">
        <v>101</v>
      </c>
      <c r="BS3" s="14" t="s">
        <v>96</v>
      </c>
      <c r="BT3" s="14" t="s">
        <v>97</v>
      </c>
      <c r="BU3" s="14" t="s">
        <v>98</v>
      </c>
      <c r="BV3" s="14" t="s">
        <v>99</v>
      </c>
      <c r="BW3" s="14" t="s">
        <v>100</v>
      </c>
      <c r="BX3" s="14" t="s">
        <v>101</v>
      </c>
      <c r="BZ3" s="14" t="s">
        <v>96</v>
      </c>
      <c r="CA3" s="14" t="s">
        <v>97</v>
      </c>
      <c r="CB3" s="14" t="s">
        <v>98</v>
      </c>
      <c r="CC3" s="14" t="s">
        <v>99</v>
      </c>
      <c r="CD3" s="14" t="s">
        <v>100</v>
      </c>
      <c r="CE3" s="14" t="s">
        <v>101</v>
      </c>
      <c r="CG3" s="14" t="s">
        <v>96</v>
      </c>
      <c r="CH3" s="14" t="s">
        <v>97</v>
      </c>
      <c r="CI3" s="14" t="s">
        <v>98</v>
      </c>
      <c r="CJ3" s="14" t="s">
        <v>99</v>
      </c>
      <c r="CK3" s="14" t="s">
        <v>100</v>
      </c>
      <c r="CL3" s="14" t="s">
        <v>101</v>
      </c>
      <c r="CN3" s="14" t="s">
        <v>96</v>
      </c>
      <c r="CO3" s="14" t="s">
        <v>97</v>
      </c>
      <c r="CP3" s="14" t="s">
        <v>98</v>
      </c>
      <c r="CQ3" s="14" t="s">
        <v>99</v>
      </c>
      <c r="CR3" s="14" t="s">
        <v>100</v>
      </c>
      <c r="CS3" s="14" t="s">
        <v>101</v>
      </c>
      <c r="CU3" s="14" t="s">
        <v>96</v>
      </c>
      <c r="CV3" s="14" t="s">
        <v>97</v>
      </c>
      <c r="CW3" s="14" t="s">
        <v>98</v>
      </c>
      <c r="CX3" s="14" t="s">
        <v>99</v>
      </c>
      <c r="CY3" s="14" t="s">
        <v>100</v>
      </c>
      <c r="CZ3" s="14" t="s">
        <v>101</v>
      </c>
      <c r="DB3" s="14" t="s">
        <v>96</v>
      </c>
      <c r="DC3" s="14" t="s">
        <v>97</v>
      </c>
      <c r="DD3" s="14" t="s">
        <v>98</v>
      </c>
      <c r="DE3" s="14" t="s">
        <v>99</v>
      </c>
      <c r="DF3" s="14" t="s">
        <v>100</v>
      </c>
      <c r="DG3" s="14" t="s">
        <v>101</v>
      </c>
      <c r="DI3" s="14" t="s">
        <v>96</v>
      </c>
      <c r="DJ3" s="14" t="s">
        <v>97</v>
      </c>
      <c r="DK3" s="14" t="s">
        <v>98</v>
      </c>
      <c r="DL3" s="14" t="s">
        <v>99</v>
      </c>
      <c r="DM3" s="14" t="s">
        <v>100</v>
      </c>
      <c r="DN3" s="14" t="s">
        <v>101</v>
      </c>
      <c r="DP3" s="14" t="s">
        <v>96</v>
      </c>
      <c r="DQ3" s="14" t="s">
        <v>97</v>
      </c>
      <c r="DR3" s="14" t="s">
        <v>98</v>
      </c>
      <c r="DS3" s="14" t="s">
        <v>99</v>
      </c>
      <c r="DT3" s="14" t="s">
        <v>100</v>
      </c>
      <c r="DU3" s="14" t="s">
        <v>101</v>
      </c>
      <c r="DW3" s="14" t="s">
        <v>96</v>
      </c>
      <c r="DX3" s="14" t="s">
        <v>97</v>
      </c>
      <c r="DY3" s="14" t="s">
        <v>98</v>
      </c>
      <c r="DZ3" s="14" t="s">
        <v>99</v>
      </c>
      <c r="EA3" s="14" t="s">
        <v>100</v>
      </c>
      <c r="EB3" s="14" t="s">
        <v>101</v>
      </c>
      <c r="ED3" s="14" t="s">
        <v>96</v>
      </c>
      <c r="EE3" s="14" t="s">
        <v>97</v>
      </c>
      <c r="EF3" s="14" t="s">
        <v>98</v>
      </c>
      <c r="EG3" s="14" t="s">
        <v>99</v>
      </c>
      <c r="EH3" s="14" t="s">
        <v>100</v>
      </c>
      <c r="EI3" s="14" t="s">
        <v>101</v>
      </c>
      <c r="EK3" s="14" t="s">
        <v>96</v>
      </c>
      <c r="EL3" s="14" t="s">
        <v>97</v>
      </c>
      <c r="EM3" s="14" t="s">
        <v>98</v>
      </c>
      <c r="EN3" s="14" t="s">
        <v>99</v>
      </c>
      <c r="EO3" s="14" t="s">
        <v>100</v>
      </c>
      <c r="EP3" s="14" t="s">
        <v>101</v>
      </c>
      <c r="ER3" s="14" t="s">
        <v>96</v>
      </c>
      <c r="ES3" s="14" t="s">
        <v>97</v>
      </c>
      <c r="ET3" s="14" t="s">
        <v>98</v>
      </c>
      <c r="EU3" s="14" t="s">
        <v>99</v>
      </c>
      <c r="EV3" s="14" t="s">
        <v>100</v>
      </c>
      <c r="EW3" s="14" t="s">
        <v>101</v>
      </c>
      <c r="EY3" s="14" t="s">
        <v>96</v>
      </c>
      <c r="EZ3" s="14" t="s">
        <v>97</v>
      </c>
      <c r="FA3" s="14" t="s">
        <v>98</v>
      </c>
      <c r="FB3" s="14" t="s">
        <v>99</v>
      </c>
      <c r="FC3" s="14" t="s">
        <v>100</v>
      </c>
      <c r="FD3" s="14" t="s">
        <v>101</v>
      </c>
      <c r="FF3" s="14" t="s">
        <v>96</v>
      </c>
      <c r="FG3" s="14" t="s">
        <v>97</v>
      </c>
      <c r="FH3" s="14" t="s">
        <v>98</v>
      </c>
      <c r="FI3" s="14" t="s">
        <v>99</v>
      </c>
      <c r="FJ3" s="14" t="s">
        <v>100</v>
      </c>
      <c r="FK3" s="14" t="s">
        <v>101</v>
      </c>
      <c r="FM3" s="14" t="s">
        <v>96</v>
      </c>
      <c r="FN3" s="14" t="s">
        <v>97</v>
      </c>
      <c r="FO3" s="14" t="s">
        <v>98</v>
      </c>
      <c r="FP3" s="14" t="s">
        <v>99</v>
      </c>
      <c r="FQ3" s="14" t="s">
        <v>100</v>
      </c>
      <c r="FR3" s="14" t="s">
        <v>101</v>
      </c>
      <c r="FT3" s="14" t="s">
        <v>96</v>
      </c>
      <c r="FU3" s="14" t="s">
        <v>97</v>
      </c>
      <c r="FV3" s="14" t="s">
        <v>98</v>
      </c>
      <c r="FW3" s="14" t="s">
        <v>99</v>
      </c>
      <c r="FX3" s="14" t="s">
        <v>100</v>
      </c>
      <c r="FY3" s="14" t="s">
        <v>101</v>
      </c>
      <c r="GA3" s="14" t="s">
        <v>96</v>
      </c>
      <c r="GB3" s="14" t="s">
        <v>97</v>
      </c>
      <c r="GC3" s="14" t="s">
        <v>98</v>
      </c>
      <c r="GD3" s="14" t="s">
        <v>99</v>
      </c>
      <c r="GE3" s="14" t="s">
        <v>100</v>
      </c>
      <c r="GF3" s="14" t="s">
        <v>101</v>
      </c>
    </row>
    <row r="4" spans="1:188" x14ac:dyDescent="0.3">
      <c r="A4" s="15" t="str">
        <f>_xll.BDS(A$2,EarnField,"cols=6;rows=126")</f>
        <v>2026:Q3</v>
      </c>
      <c r="B4">
        <v>46233</v>
      </c>
      <c r="C4" s="19">
        <v>0.6875</v>
      </c>
      <c r="D4">
        <v>2.02</v>
      </c>
      <c r="E4">
        <v>2.02</v>
      </c>
      <c r="F4">
        <v>1.8859999999999999</v>
      </c>
      <c r="H4" s="15" t="str">
        <f>_xll.BDS(H$2,EarnField,"cols=6;rows=112")</f>
        <v>2026:Q2</v>
      </c>
      <c r="I4" s="18">
        <v>46233</v>
      </c>
      <c r="J4" s="19">
        <v>0.66736111111111107</v>
      </c>
      <c r="K4">
        <v>5.75</v>
      </c>
      <c r="L4">
        <v>5.75</v>
      </c>
      <c r="M4">
        <v>1.8280000000000001</v>
      </c>
      <c r="O4" s="15" t="str">
        <f>_xll.BDS(O$2,EarnField,"cols=6;rows=88")</f>
        <v>2026:Q2</v>
      </c>
      <c r="P4" s="18">
        <v>46225</v>
      </c>
      <c r="Q4" s="19">
        <v>0.66736111111111107</v>
      </c>
      <c r="R4">
        <v>9.11</v>
      </c>
      <c r="S4">
        <v>9.11</v>
      </c>
      <c r="T4">
        <v>2.903</v>
      </c>
      <c r="V4" s="15" t="str">
        <f>_xll.BDS(V$2,EarnField,"cols=6;rows=60")</f>
        <v>2026:Q2</v>
      </c>
      <c r="W4" s="18">
        <v>46232</v>
      </c>
      <c r="X4" s="19">
        <v>0.66736111111111107</v>
      </c>
      <c r="Y4">
        <v>6.18</v>
      </c>
      <c r="Z4">
        <v>6.18</v>
      </c>
      <c r="AA4">
        <v>7.1470000000000002</v>
      </c>
      <c r="AC4" s="15" t="str">
        <f>_xll.BDS(AC$2,EarnField,"cols=6;rows=141")</f>
        <v>2026:Q4</v>
      </c>
      <c r="AD4" s="18">
        <v>46232</v>
      </c>
      <c r="AE4" s="19">
        <v>0.67291666666666672</v>
      </c>
      <c r="AF4">
        <v>4.4321999999999999</v>
      </c>
      <c r="AG4">
        <v>4.74</v>
      </c>
      <c r="AH4">
        <v>4.25</v>
      </c>
      <c r="AJ4" s="15" t="str">
        <f>_xll.BDS(AJ$2,EarnField,"cols=6;rows=98")</f>
        <v>2026:Q3</v>
      </c>
      <c r="AK4" s="18">
        <v>46315</v>
      </c>
      <c r="AL4" s="19">
        <v>0.66736111111111107</v>
      </c>
      <c r="AM4">
        <v>-2.4245362661989844E-14</v>
      </c>
      <c r="AN4">
        <v>-2.4245362661989844E-14</v>
      </c>
      <c r="AO4">
        <v>0.81899999999999995</v>
      </c>
      <c r="AQ4" s="15" t="str">
        <f>_xll.BDS(AQ$2,EarnField,"cols=6;rows=109")</f>
        <v>2027:Q2</v>
      </c>
      <c r="AR4" s="18">
        <v>46260</v>
      </c>
      <c r="AS4" s="19">
        <v>0.68055555555555558</v>
      </c>
      <c r="AT4">
        <v>2.2141999999999999</v>
      </c>
      <c r="AU4">
        <v>2.2200000000000002</v>
      </c>
      <c r="AV4">
        <v>2.0870000000000002</v>
      </c>
      <c r="AX4" s="15" t="str">
        <f>_xll.BDS(AX$2,EarnField,"cols=6;rows=24")</f>
        <v>2026:Q2</v>
      </c>
      <c r="AY4" s="18">
        <v>46237</v>
      </c>
      <c r="AZ4" s="19">
        <v>0.67013888888888884</v>
      </c>
      <c r="BA4">
        <v>0.39090000000000003</v>
      </c>
      <c r="BB4">
        <v>0.41</v>
      </c>
      <c r="BC4">
        <v>0.34699999999999998</v>
      </c>
      <c r="BE4" s="15" t="str">
        <f>_xll.BDS(BE$2,EarnField,"cols=6;rows=65")</f>
        <v>2026:Q2</v>
      </c>
      <c r="BF4" s="18">
        <v>46225</v>
      </c>
      <c r="BG4" s="19">
        <v>0.6694444444444444</v>
      </c>
      <c r="BH4">
        <v>5.1299999999999998E-2</v>
      </c>
      <c r="BI4">
        <v>0.33</v>
      </c>
      <c r="BJ4">
        <v>0.50600000000000001</v>
      </c>
      <c r="BL4" s="15" t="str">
        <f>_xll.BDS(BL$2,EarnField,"cols=6;rows=111")</f>
        <v>2026:Q2</v>
      </c>
      <c r="BM4" s="18">
        <v>46219</v>
      </c>
      <c r="BN4" s="19">
        <v>0.57291666666666663</v>
      </c>
      <c r="BO4">
        <v>126.2501</v>
      </c>
      <c r="BP4">
        <v>136.25</v>
      </c>
      <c r="BQ4">
        <v>120.489</v>
      </c>
      <c r="BS4" s="15" t="str">
        <f>_xll.BDS(BS$2,EarnField,"cols=6;rows=101")</f>
        <v>2026:Q3</v>
      </c>
      <c r="BT4" s="18">
        <v>46267</v>
      </c>
      <c r="BU4" s="19">
        <v>0.67708333333333337</v>
      </c>
      <c r="BV4">
        <v>2.7103000000000002</v>
      </c>
      <c r="BW4">
        <v>3.32</v>
      </c>
      <c r="BX4">
        <v>3.23</v>
      </c>
      <c r="BZ4" s="15" t="str">
        <f>_xll.BDS(BZ$2,EarnField,"cols=6;rows=110")</f>
        <v>2026:Q2</v>
      </c>
      <c r="CA4" s="18">
        <v>46238</v>
      </c>
      <c r="CB4" s="19">
        <v>0.67708333333333337</v>
      </c>
      <c r="CC4">
        <v>1.2008000000000001</v>
      </c>
      <c r="CD4">
        <v>1.66</v>
      </c>
      <c r="CE4">
        <v>1.6160000000000001</v>
      </c>
      <c r="CG4" s="15" t="str">
        <f>_xll.BDS(CG$2,EarnField,"cols=6;rows=127")</f>
        <v>2026:Q3</v>
      </c>
      <c r="CH4" s="18">
        <v>46197</v>
      </c>
      <c r="CI4" s="19">
        <v>0.66736111111111107</v>
      </c>
      <c r="CJ4">
        <v>24.971</v>
      </c>
      <c r="CK4">
        <v>25.11</v>
      </c>
      <c r="CL4">
        <v>20.492000000000001</v>
      </c>
      <c r="CN4" s="15" t="str">
        <f>_xll.BDS(CN$2,EarnField,"cols=6;rows=110")</f>
        <v>2026:Q2</v>
      </c>
      <c r="CO4" s="18">
        <v>46233</v>
      </c>
      <c r="CP4" s="19">
        <v>0.66736111111111107</v>
      </c>
      <c r="CQ4">
        <v>-6.0735999999999999</v>
      </c>
      <c r="CR4">
        <v>-2.4245362661989844E-14</v>
      </c>
      <c r="CS4">
        <v>1.5449999999999999</v>
      </c>
      <c r="CU4" s="15" t="str">
        <f>_xll.BDS(CU$2,EarnField,"cols=6;rows=22")</f>
        <v>2026:Q2</v>
      </c>
      <c r="CV4" s="18">
        <v>46233</v>
      </c>
      <c r="CW4" s="19">
        <v>0.67777777777777781</v>
      </c>
      <c r="CX4">
        <v>0.40529999999999999</v>
      </c>
      <c r="CY4">
        <v>-0.3982</v>
      </c>
      <c r="CZ4">
        <v>-0.05</v>
      </c>
      <c r="DB4" s="15" t="str">
        <f>_xll.BDS(DB$2,EarnField,"cols=6;rows=21")</f>
        <v>2026:Q2</v>
      </c>
      <c r="DC4" s="18">
        <v>46232</v>
      </c>
      <c r="DD4" s="19">
        <v>0.67222222222222228</v>
      </c>
      <c r="DE4">
        <v>0.5282</v>
      </c>
      <c r="DF4">
        <v>0.62</v>
      </c>
      <c r="DG4">
        <v>0.44500000000000001</v>
      </c>
      <c r="DI4" s="15" t="str">
        <f>_xll.BDS(DI$2,EarnField,"cols=6;rows=51")</f>
        <v>2026:Q2</v>
      </c>
      <c r="DJ4" s="18">
        <v>46239</v>
      </c>
      <c r="DK4" s="19">
        <v>0.29375000000000001</v>
      </c>
      <c r="DL4">
        <v>0.3332</v>
      </c>
      <c r="DM4">
        <v>0.42</v>
      </c>
      <c r="DN4">
        <v>0.40600000000000003</v>
      </c>
      <c r="DP4" s="15" t="str">
        <f>_xll.BDS(DP$2,EarnField,"cols=6;rows=78")</f>
        <v>2026:Q4</v>
      </c>
      <c r="DQ4" s="18">
        <v>46245</v>
      </c>
      <c r="DR4" s="19">
        <v>0.67013888888888884</v>
      </c>
      <c r="DS4">
        <v>1.6377999999999999</v>
      </c>
      <c r="DT4">
        <v>1.7</v>
      </c>
      <c r="DU4">
        <v>1.5920000000000001</v>
      </c>
      <c r="DW4" s="15" t="str">
        <f>_xll.BDS(DW$2,EarnField,"cols=6;rows=111")</f>
        <v>2027:Q1</v>
      </c>
      <c r="DX4" s="18">
        <v>46275</v>
      </c>
      <c r="DY4" s="19">
        <v>0.67361111111111116</v>
      </c>
      <c r="DZ4">
        <v>1.5838000000000001</v>
      </c>
      <c r="EA4">
        <v>1.92</v>
      </c>
      <c r="EB4">
        <v>1.746</v>
      </c>
      <c r="ED4" s="15" t="str">
        <f>_xll.BDS(ED$2,EarnField,"cols=6;rows=89")</f>
        <v>2027:Q2</v>
      </c>
      <c r="EE4" s="18">
        <v>46260</v>
      </c>
      <c r="EF4" s="19">
        <v>0.66736111111111107</v>
      </c>
      <c r="EG4">
        <v>1.9955000000000001</v>
      </c>
      <c r="EH4">
        <v>5.9</v>
      </c>
      <c r="EI4">
        <v>3.2789999999999999</v>
      </c>
      <c r="EK4" s="15" t="str">
        <f>_xll.BDS(EK$2,EarnField,"cols=6;rows=111")</f>
        <v>2026:Q3</v>
      </c>
      <c r="EL4" s="18">
        <v>46275</v>
      </c>
      <c r="EM4" s="19">
        <v>0.67013888888888884</v>
      </c>
      <c r="EN4">
        <v>4.6124000000000001</v>
      </c>
      <c r="EO4">
        <v>6.13</v>
      </c>
      <c r="EP4">
        <v>6.0780000000000003</v>
      </c>
      <c r="ER4" s="15" t="str">
        <f>_xll.BDS(ER$2,EarnField,"cols=6;rows=57")</f>
        <v>2026:Q2</v>
      </c>
      <c r="ES4" s="18">
        <v>46225</v>
      </c>
      <c r="ET4" s="19">
        <v>0.67361111111111116</v>
      </c>
      <c r="EU4">
        <v>0.11749999999999999</v>
      </c>
      <c r="EV4">
        <v>0.9</v>
      </c>
      <c r="EW4">
        <v>0.86899999999999999</v>
      </c>
      <c r="EY4" s="15" t="str">
        <f>_xll.BDS(EY$2,EarnField,"cols=6;rows=124")</f>
        <v>2026:Q2</v>
      </c>
      <c r="EZ4" s="18">
        <v>46239</v>
      </c>
      <c r="FA4" s="19">
        <v>0.28125</v>
      </c>
      <c r="FB4">
        <v>11.27</v>
      </c>
      <c r="FC4">
        <v>8.3800000000000008</v>
      </c>
      <c r="FD4">
        <v>6.0049999999999999</v>
      </c>
      <c r="FF4" s="15" t="str">
        <f>_xll.BDS(FF$2,EarnField,"cols=6;rows=111")</f>
        <v>2026:Q3</v>
      </c>
      <c r="FG4" s="18">
        <v>46308</v>
      </c>
      <c r="FH4" t="s">
        <v>144</v>
      </c>
      <c r="FI4">
        <v>-2.4245362661989844E-14</v>
      </c>
      <c r="FJ4">
        <v>-2.4245362661989844E-14</v>
      </c>
      <c r="FK4">
        <v>4.133</v>
      </c>
      <c r="FM4" s="15" t="str">
        <f>_xll.BDS(FM$2,EarnField,"cols=6;rows=122")</f>
        <v>2027:Q4</v>
      </c>
      <c r="FN4" s="18">
        <v>46766</v>
      </c>
      <c r="FO4" s="19">
        <v>0.28125</v>
      </c>
      <c r="FP4">
        <v>-2.4245362661989844E-14</v>
      </c>
      <c r="FQ4">
        <v>-2.4245362661989844E-14</v>
      </c>
      <c r="FR4">
        <v>6.367</v>
      </c>
      <c r="FT4" s="15" t="str">
        <f>_xll.BDS(FT$2,EarnField,"cols=6;rows=114")</f>
        <v>2026:Q4</v>
      </c>
      <c r="FU4" s="18">
        <v>46289</v>
      </c>
      <c r="FV4" s="19">
        <v>0.67708333333333337</v>
      </c>
      <c r="FW4">
        <v>-2.4245362661989844E-14</v>
      </c>
      <c r="FX4">
        <v>-2.4245362661989844E-14</v>
      </c>
      <c r="FY4">
        <v>6.5250000000000004</v>
      </c>
      <c r="GA4" s="15" t="str">
        <f>_xll.BDS(GA$2,EarnField,"cols=6;rows=122")</f>
        <v>2026:Q2</v>
      </c>
      <c r="GB4" s="18">
        <v>46234</v>
      </c>
      <c r="GC4" s="19">
        <v>0.27083333333333331</v>
      </c>
      <c r="GD4">
        <v>4.1119000000000003</v>
      </c>
      <c r="GE4">
        <v>3.52</v>
      </c>
      <c r="GF4">
        <v>3.5379999999999998</v>
      </c>
    </row>
    <row r="5" spans="1:188" x14ac:dyDescent="0.3">
      <c r="A5" t="s">
        <v>102</v>
      </c>
      <c r="B5">
        <v>46142</v>
      </c>
      <c r="C5" s="19">
        <v>0.6875</v>
      </c>
      <c r="D5">
        <v>2.0099999999999998</v>
      </c>
      <c r="E5">
        <v>2.0099999999999998</v>
      </c>
      <c r="F5">
        <v>1.964</v>
      </c>
      <c r="H5" t="s">
        <v>103</v>
      </c>
      <c r="I5" s="18">
        <v>46141</v>
      </c>
      <c r="J5" s="19">
        <v>0.66736111111111107</v>
      </c>
      <c r="K5">
        <v>2.78</v>
      </c>
      <c r="L5">
        <v>2.78</v>
      </c>
      <c r="M5">
        <v>1.623</v>
      </c>
      <c r="O5" t="s">
        <v>103</v>
      </c>
      <c r="P5" s="18">
        <v>46141</v>
      </c>
      <c r="Q5" s="19">
        <v>0.66805555555555551</v>
      </c>
      <c r="R5">
        <v>5.1100000000000003</v>
      </c>
      <c r="S5">
        <v>5.1100000000000003</v>
      </c>
      <c r="T5">
        <v>2.6240000000000001</v>
      </c>
      <c r="V5" t="s">
        <v>103</v>
      </c>
      <c r="W5" s="18">
        <v>46141</v>
      </c>
      <c r="X5" s="19">
        <v>0.68263888888888891</v>
      </c>
      <c r="Y5">
        <v>10.44</v>
      </c>
      <c r="Z5">
        <v>10.44</v>
      </c>
      <c r="AA5">
        <v>6.6459999999999999</v>
      </c>
      <c r="AC5" t="s">
        <v>193</v>
      </c>
      <c r="AD5" s="18">
        <v>46141</v>
      </c>
      <c r="AE5" s="19">
        <v>0.68055555555555558</v>
      </c>
      <c r="AF5">
        <v>4.2712000000000003</v>
      </c>
      <c r="AG5">
        <v>4.2699999999999996</v>
      </c>
      <c r="AH5">
        <v>4.0369999999999999</v>
      </c>
      <c r="AJ5" t="s">
        <v>102</v>
      </c>
      <c r="AK5" s="18">
        <v>46219</v>
      </c>
      <c r="AL5" s="19">
        <v>0.66736111111111107</v>
      </c>
      <c r="AM5">
        <v>0.8</v>
      </c>
      <c r="AN5">
        <v>0.8</v>
      </c>
      <c r="AO5">
        <v>0.78800000000000003</v>
      </c>
      <c r="AQ5" t="s">
        <v>195</v>
      </c>
      <c r="AR5" s="18">
        <v>46162</v>
      </c>
      <c r="AS5" s="19">
        <v>0.68055555555555558</v>
      </c>
      <c r="AT5">
        <v>1.8645</v>
      </c>
      <c r="AU5">
        <v>1.87</v>
      </c>
      <c r="AV5">
        <v>1.7749999999999999</v>
      </c>
      <c r="AX5" t="s">
        <v>103</v>
      </c>
      <c r="AY5" s="18">
        <v>46146</v>
      </c>
      <c r="AZ5" s="19">
        <v>0.67013888888888884</v>
      </c>
      <c r="BA5">
        <v>0.34</v>
      </c>
      <c r="BB5">
        <v>0.33</v>
      </c>
      <c r="BC5">
        <v>0.27800000000000002</v>
      </c>
      <c r="BE5" t="s">
        <v>103</v>
      </c>
      <c r="BF5" s="18">
        <v>46134</v>
      </c>
      <c r="BG5" s="19">
        <v>0.67152777777777772</v>
      </c>
      <c r="BH5">
        <v>0.1789</v>
      </c>
      <c r="BI5">
        <v>0.41</v>
      </c>
      <c r="BJ5">
        <v>0.34100000000000003</v>
      </c>
      <c r="BL5" t="s">
        <v>103</v>
      </c>
      <c r="BM5" s="18">
        <v>46128</v>
      </c>
      <c r="BN5" s="19">
        <v>0.56597222222222221</v>
      </c>
      <c r="BO5">
        <v>111.1863</v>
      </c>
      <c r="BP5">
        <v>110.4</v>
      </c>
      <c r="BQ5">
        <v>104.42400000000001</v>
      </c>
      <c r="BS5" t="s">
        <v>102</v>
      </c>
      <c r="BT5" s="18">
        <v>46176</v>
      </c>
      <c r="BU5" s="19">
        <v>0.67708333333333337</v>
      </c>
      <c r="BV5">
        <v>1.9382999999999999</v>
      </c>
      <c r="BW5">
        <v>2.44</v>
      </c>
      <c r="BX5">
        <v>2.395</v>
      </c>
      <c r="BZ5" t="s">
        <v>103</v>
      </c>
      <c r="CA5" s="18">
        <v>46147</v>
      </c>
      <c r="CB5" s="19">
        <v>0.67708333333333337</v>
      </c>
      <c r="CC5">
        <v>0.80879999999999996</v>
      </c>
      <c r="CD5">
        <v>1.37</v>
      </c>
      <c r="CE5">
        <v>1.2829999999999999</v>
      </c>
      <c r="CG5" t="s">
        <v>102</v>
      </c>
      <c r="CH5" s="18">
        <v>46099</v>
      </c>
      <c r="CI5" s="19">
        <v>0.66736111111111107</v>
      </c>
      <c r="CJ5">
        <v>12.071199999999999</v>
      </c>
      <c r="CK5">
        <v>12.2</v>
      </c>
      <c r="CL5">
        <v>9.125</v>
      </c>
      <c r="CN5" t="s">
        <v>103</v>
      </c>
      <c r="CO5" s="18">
        <v>46147</v>
      </c>
      <c r="CP5" s="19">
        <v>0.66736111111111107</v>
      </c>
      <c r="CQ5">
        <v>-4.0500999999999996</v>
      </c>
      <c r="CR5">
        <v>-38.25</v>
      </c>
      <c r="CS5">
        <v>-18.152999999999999</v>
      </c>
      <c r="CU5" t="s">
        <v>103</v>
      </c>
      <c r="CV5" s="18">
        <v>46149</v>
      </c>
      <c r="CW5" s="19">
        <v>0.67569444444444449</v>
      </c>
      <c r="CX5">
        <v>0.51570000000000005</v>
      </c>
      <c r="CY5">
        <v>-0.17</v>
      </c>
      <c r="CZ5">
        <v>0.29499999999999998</v>
      </c>
      <c r="DB5" t="s">
        <v>103</v>
      </c>
      <c r="DC5" s="18">
        <v>46140</v>
      </c>
      <c r="DD5" s="19">
        <v>0.67013888888888884</v>
      </c>
      <c r="DE5">
        <v>0.38</v>
      </c>
      <c r="DF5">
        <v>0.38</v>
      </c>
      <c r="DG5">
        <v>0.42399999999999999</v>
      </c>
      <c r="DI5" t="s">
        <v>103</v>
      </c>
      <c r="DJ5" s="18">
        <v>46147</v>
      </c>
      <c r="DK5" s="19">
        <v>0.29166666666666669</v>
      </c>
      <c r="DL5">
        <v>0.2641</v>
      </c>
      <c r="DM5">
        <v>0.36</v>
      </c>
      <c r="DN5">
        <v>0.32900000000000001</v>
      </c>
      <c r="DP5" t="s">
        <v>193</v>
      </c>
      <c r="DQ5" s="18">
        <v>46147</v>
      </c>
      <c r="DR5" s="19">
        <v>0.67013888888888884</v>
      </c>
      <c r="DS5">
        <v>0.72</v>
      </c>
      <c r="DT5">
        <v>0.84</v>
      </c>
      <c r="DU5">
        <v>0.629</v>
      </c>
      <c r="DW5" t="s">
        <v>192</v>
      </c>
      <c r="DX5" s="18">
        <v>46183</v>
      </c>
      <c r="DY5" s="19">
        <v>0.67013888888888884</v>
      </c>
      <c r="DZ5">
        <v>1.5696000000000001</v>
      </c>
      <c r="EA5">
        <v>2.11</v>
      </c>
      <c r="EB5">
        <v>1.974</v>
      </c>
      <c r="ED5" t="s">
        <v>195</v>
      </c>
      <c r="EE5" s="18">
        <v>46169</v>
      </c>
      <c r="EF5" s="19">
        <v>0.66736111111111107</v>
      </c>
      <c r="EG5">
        <v>1.9872000000000001</v>
      </c>
      <c r="EH5">
        <v>3.88</v>
      </c>
      <c r="EI5">
        <v>3.125</v>
      </c>
      <c r="EK5" t="s">
        <v>102</v>
      </c>
      <c r="EL5" s="18">
        <v>46184</v>
      </c>
      <c r="EM5" s="19">
        <v>0.67013888888888884</v>
      </c>
      <c r="EN5">
        <v>4.4664000000000001</v>
      </c>
      <c r="EO5">
        <v>5.96</v>
      </c>
      <c r="EP5">
        <v>5.8310000000000004</v>
      </c>
      <c r="ER5" t="s">
        <v>103</v>
      </c>
      <c r="ES5" s="18">
        <v>46134</v>
      </c>
      <c r="ET5" s="19">
        <v>0.67361111111111116</v>
      </c>
      <c r="EU5">
        <v>0.42770000000000002</v>
      </c>
      <c r="EV5">
        <v>0.97</v>
      </c>
      <c r="EW5">
        <v>0.97199999999999998</v>
      </c>
      <c r="EY5" t="s">
        <v>103</v>
      </c>
      <c r="EZ5" s="18">
        <v>46142</v>
      </c>
      <c r="FA5" s="19">
        <v>0.28125</v>
      </c>
      <c r="FB5">
        <v>8.9566999999999997</v>
      </c>
      <c r="FC5">
        <v>8.5500000000000007</v>
      </c>
      <c r="FD5">
        <v>6.8360000000000003</v>
      </c>
      <c r="FF5" t="s">
        <v>102</v>
      </c>
      <c r="FG5" s="18">
        <v>46219</v>
      </c>
      <c r="FH5" s="19">
        <v>0.24652777777777779</v>
      </c>
      <c r="FI5">
        <v>6.0822000000000003</v>
      </c>
      <c r="FJ5">
        <v>6.38</v>
      </c>
      <c r="FK5">
        <v>4.8940000000000001</v>
      </c>
      <c r="FM5" t="s">
        <v>245</v>
      </c>
      <c r="FN5" s="18">
        <v>46672</v>
      </c>
      <c r="FO5" s="19">
        <v>0.28125</v>
      </c>
      <c r="FP5">
        <v>-2.4245362661989844E-14</v>
      </c>
      <c r="FQ5">
        <v>-2.4245362661989844E-14</v>
      </c>
      <c r="FR5">
        <v>6.2469999999999999</v>
      </c>
      <c r="FT5" t="s">
        <v>193</v>
      </c>
      <c r="FU5" s="18">
        <v>46170</v>
      </c>
      <c r="FV5" s="19">
        <v>0.67708333333333337</v>
      </c>
      <c r="FW5">
        <v>4.93</v>
      </c>
      <c r="FX5">
        <v>4.93</v>
      </c>
      <c r="FY5">
        <v>4.9820000000000002</v>
      </c>
      <c r="GA5" t="s">
        <v>103</v>
      </c>
      <c r="GB5" s="18">
        <v>46143</v>
      </c>
      <c r="GC5" s="19">
        <v>0.27083333333333331</v>
      </c>
      <c r="GD5">
        <v>0.82750000000000001</v>
      </c>
      <c r="GE5">
        <v>1.1599999999999999</v>
      </c>
      <c r="GF5">
        <v>0.95299999999999996</v>
      </c>
    </row>
    <row r="6" spans="1:188" x14ac:dyDescent="0.3">
      <c r="A6" t="s">
        <v>103</v>
      </c>
      <c r="B6">
        <v>46051</v>
      </c>
      <c r="C6" s="19">
        <v>0.6875</v>
      </c>
      <c r="D6">
        <v>2.84</v>
      </c>
      <c r="E6">
        <v>2.84</v>
      </c>
      <c r="F6">
        <v>2.68</v>
      </c>
      <c r="H6" t="s">
        <v>104</v>
      </c>
      <c r="I6" s="18">
        <v>46058</v>
      </c>
      <c r="J6" s="19">
        <v>0.66736111111111107</v>
      </c>
      <c r="K6">
        <v>1.95</v>
      </c>
      <c r="L6">
        <v>1.95</v>
      </c>
      <c r="M6">
        <v>1.958</v>
      </c>
      <c r="O6" t="s">
        <v>104</v>
      </c>
      <c r="P6" s="18">
        <v>46057</v>
      </c>
      <c r="Q6" s="19">
        <v>0.66736111111111107</v>
      </c>
      <c r="R6">
        <v>2.82</v>
      </c>
      <c r="S6">
        <v>2.82</v>
      </c>
      <c r="T6">
        <v>2.645</v>
      </c>
      <c r="V6" t="s">
        <v>104</v>
      </c>
      <c r="W6" s="18">
        <v>46050</v>
      </c>
      <c r="X6" s="19">
        <v>0.66736111111111107</v>
      </c>
      <c r="Y6">
        <v>8.8800000000000008</v>
      </c>
      <c r="Z6">
        <v>8.8800000000000008</v>
      </c>
      <c r="AA6">
        <v>8.1859999999999999</v>
      </c>
      <c r="AC6" t="s">
        <v>102</v>
      </c>
      <c r="AD6" s="18">
        <v>46050</v>
      </c>
      <c r="AE6" s="19">
        <v>0.66666666666666663</v>
      </c>
      <c r="AF6">
        <v>4.109</v>
      </c>
      <c r="AG6">
        <v>4.1399999999999997</v>
      </c>
      <c r="AH6">
        <v>3.9220000000000002</v>
      </c>
      <c r="AJ6" t="s">
        <v>103</v>
      </c>
      <c r="AK6" s="18">
        <v>46128</v>
      </c>
      <c r="AL6" s="19">
        <v>0.66805555555555551</v>
      </c>
      <c r="AM6">
        <v>1.23</v>
      </c>
      <c r="AN6">
        <v>1.23</v>
      </c>
      <c r="AO6">
        <v>0.77900000000000003</v>
      </c>
      <c r="AQ6" t="s">
        <v>192</v>
      </c>
      <c r="AR6" s="18">
        <v>46078</v>
      </c>
      <c r="AS6" s="19">
        <v>0.69166666666666665</v>
      </c>
      <c r="AT6">
        <v>1.5565</v>
      </c>
      <c r="AU6">
        <v>1.62</v>
      </c>
      <c r="AV6">
        <v>1.532</v>
      </c>
      <c r="AX6" t="s">
        <v>104</v>
      </c>
      <c r="AY6" s="18">
        <v>46055</v>
      </c>
      <c r="AZ6" s="19">
        <v>0.67013888888888884</v>
      </c>
      <c r="BA6">
        <v>0.245</v>
      </c>
      <c r="BB6">
        <v>0.25</v>
      </c>
      <c r="BC6">
        <v>0.22900000000000001</v>
      </c>
      <c r="BE6" t="s">
        <v>104</v>
      </c>
      <c r="BF6" s="18">
        <v>46050</v>
      </c>
      <c r="BG6" s="19">
        <v>0.6694444444444444</v>
      </c>
      <c r="BH6">
        <v>0.34370000000000001</v>
      </c>
      <c r="BI6">
        <v>0.5</v>
      </c>
      <c r="BJ6">
        <v>0.44700000000000001</v>
      </c>
      <c r="BL6" t="s">
        <v>251</v>
      </c>
      <c r="BM6" s="18">
        <v>46037</v>
      </c>
      <c r="BN6" s="19">
        <v>0.56458333333333333</v>
      </c>
      <c r="BO6">
        <v>332.57929999999999</v>
      </c>
      <c r="BP6">
        <v>331.25</v>
      </c>
      <c r="BQ6">
        <v>323.661</v>
      </c>
      <c r="BS6" t="s">
        <v>103</v>
      </c>
      <c r="BT6" s="18">
        <v>46085</v>
      </c>
      <c r="BU6" s="19">
        <v>0.67708333333333337</v>
      </c>
      <c r="BV6">
        <v>1.5258</v>
      </c>
      <c r="BW6">
        <v>2.0499999999999998</v>
      </c>
      <c r="BX6">
        <v>2.0299999999999998</v>
      </c>
      <c r="BZ6" t="s">
        <v>104</v>
      </c>
      <c r="CA6" s="18">
        <v>46056</v>
      </c>
      <c r="CB6" s="19">
        <v>0.67708333333333337</v>
      </c>
      <c r="CC6">
        <v>0.86719999999999997</v>
      </c>
      <c r="CD6">
        <v>1.53</v>
      </c>
      <c r="CE6">
        <v>1.323</v>
      </c>
      <c r="CG6" t="s">
        <v>103</v>
      </c>
      <c r="CH6" s="18">
        <v>46008</v>
      </c>
      <c r="CI6" s="19">
        <v>0.66736111111111107</v>
      </c>
      <c r="CJ6">
        <v>4.6182999999999996</v>
      </c>
      <c r="CK6">
        <v>4.78</v>
      </c>
      <c r="CL6">
        <v>3.9510000000000001</v>
      </c>
      <c r="CN6" t="s">
        <v>104</v>
      </c>
      <c r="CO6" s="18">
        <v>46058</v>
      </c>
      <c r="CP6" s="19">
        <v>0.66666666666666663</v>
      </c>
      <c r="CQ6">
        <v>3.9217</v>
      </c>
      <c r="CR6">
        <v>-42.93</v>
      </c>
      <c r="CS6">
        <v>-0.05</v>
      </c>
      <c r="CU6" t="s">
        <v>104</v>
      </c>
      <c r="CV6" s="18">
        <v>46065</v>
      </c>
      <c r="CW6" s="19">
        <v>0.67291666666666672</v>
      </c>
      <c r="CX6">
        <v>1.3933</v>
      </c>
      <c r="CY6">
        <v>0.66</v>
      </c>
      <c r="CZ6">
        <v>0.88600000000000001</v>
      </c>
      <c r="DB6" t="s">
        <v>104</v>
      </c>
      <c r="DC6" s="18">
        <v>46063</v>
      </c>
      <c r="DD6" s="19">
        <v>0.67013888888888884</v>
      </c>
      <c r="DE6">
        <v>0.66</v>
      </c>
      <c r="DF6">
        <v>0.66</v>
      </c>
      <c r="DG6">
        <v>0.63800000000000001</v>
      </c>
      <c r="DI6" t="s">
        <v>104</v>
      </c>
      <c r="DJ6" s="18">
        <v>46064</v>
      </c>
      <c r="DK6" s="19">
        <v>0.29305555555555557</v>
      </c>
      <c r="DL6">
        <v>0.28039999999999998</v>
      </c>
      <c r="DM6">
        <v>0.48</v>
      </c>
      <c r="DN6">
        <v>0.51300000000000001</v>
      </c>
      <c r="DP6" t="s">
        <v>102</v>
      </c>
      <c r="DQ6" s="18">
        <v>46056</v>
      </c>
      <c r="DR6" s="19">
        <v>0.70208333333333328</v>
      </c>
      <c r="DS6">
        <v>0.6</v>
      </c>
      <c r="DT6">
        <v>0.69</v>
      </c>
      <c r="DU6">
        <v>0.48499999999999999</v>
      </c>
      <c r="DW6" t="s">
        <v>193</v>
      </c>
      <c r="DX6" s="18">
        <v>46091</v>
      </c>
      <c r="DY6" s="19">
        <v>0.67013888888888884</v>
      </c>
      <c r="DZ6">
        <v>1.3239000000000001</v>
      </c>
      <c r="EA6">
        <v>1.79</v>
      </c>
      <c r="EB6">
        <v>1.698</v>
      </c>
      <c r="ED6" t="s">
        <v>192</v>
      </c>
      <c r="EE6" s="18">
        <v>46078</v>
      </c>
      <c r="EF6" s="19">
        <v>0.66736111111111107</v>
      </c>
      <c r="EG6">
        <v>3.0577000000000001</v>
      </c>
      <c r="EH6">
        <v>3.81</v>
      </c>
      <c r="EI6">
        <v>3.0550000000000002</v>
      </c>
      <c r="EK6" t="s">
        <v>103</v>
      </c>
      <c r="EL6" s="18">
        <v>46093</v>
      </c>
      <c r="EM6" s="19">
        <v>0.67013888888888884</v>
      </c>
      <c r="EN6">
        <v>4.7404999999999999</v>
      </c>
      <c r="EO6">
        <v>6.06</v>
      </c>
      <c r="EP6">
        <v>5.8810000000000002</v>
      </c>
      <c r="ER6" t="s">
        <v>104</v>
      </c>
      <c r="ES6" s="18">
        <v>46050</v>
      </c>
      <c r="ET6" s="19">
        <v>0.67361111111111116</v>
      </c>
      <c r="EU6">
        <v>0.47960000000000003</v>
      </c>
      <c r="EV6">
        <v>0.92</v>
      </c>
      <c r="EW6">
        <v>0.88900000000000001</v>
      </c>
      <c r="EY6" t="s">
        <v>104</v>
      </c>
      <c r="EZ6" s="18">
        <v>46057</v>
      </c>
      <c r="FA6" s="19">
        <v>0.28125</v>
      </c>
      <c r="FB6">
        <v>7.8951000000000002</v>
      </c>
      <c r="FC6">
        <v>7.54</v>
      </c>
      <c r="FD6">
        <v>6.7329999999999997</v>
      </c>
      <c r="FF6" t="s">
        <v>103</v>
      </c>
      <c r="FG6" s="18">
        <v>46133</v>
      </c>
      <c r="FH6" s="19">
        <v>0.24652777777777779</v>
      </c>
      <c r="FI6">
        <v>6.9229000000000003</v>
      </c>
      <c r="FJ6">
        <v>7.23</v>
      </c>
      <c r="FK6">
        <v>6.5709999999999997</v>
      </c>
      <c r="FM6" t="s">
        <v>194</v>
      </c>
      <c r="FN6" s="18">
        <v>46581</v>
      </c>
      <c r="FO6" s="19">
        <v>0.28125</v>
      </c>
      <c r="FP6">
        <v>-2.4245362661989844E-14</v>
      </c>
      <c r="FQ6">
        <v>-2.4245362661989844E-14</v>
      </c>
      <c r="FR6">
        <v>6.2119999999999997</v>
      </c>
      <c r="FT6" t="s">
        <v>102</v>
      </c>
      <c r="FU6" s="18">
        <v>46086</v>
      </c>
      <c r="FV6" s="19">
        <v>0.67708333333333337</v>
      </c>
      <c r="FW6">
        <v>4.5789999999999997</v>
      </c>
      <c r="FX6">
        <v>4.58</v>
      </c>
      <c r="FY6">
        <v>4.5490000000000004</v>
      </c>
      <c r="GA6" t="s">
        <v>104</v>
      </c>
      <c r="GB6" s="18">
        <v>46052</v>
      </c>
      <c r="GC6" s="19">
        <v>0.27083333333333331</v>
      </c>
      <c r="GD6">
        <v>1.7083999999999999</v>
      </c>
      <c r="GE6">
        <v>1.71</v>
      </c>
      <c r="GF6">
        <v>1.7010000000000001</v>
      </c>
    </row>
    <row r="7" spans="1:188" x14ac:dyDescent="0.3">
      <c r="A7" t="s">
        <v>104</v>
      </c>
      <c r="B7">
        <v>45960</v>
      </c>
      <c r="C7" s="19">
        <v>0.6875</v>
      </c>
      <c r="D7">
        <v>1.85</v>
      </c>
      <c r="E7">
        <v>1.85</v>
      </c>
      <c r="F7">
        <v>1.774</v>
      </c>
      <c r="H7" t="s">
        <v>105</v>
      </c>
      <c r="I7" s="18">
        <v>45960</v>
      </c>
      <c r="J7" s="19">
        <v>0.66736111111111107</v>
      </c>
      <c r="K7">
        <v>1.95</v>
      </c>
      <c r="L7">
        <v>1.95</v>
      </c>
      <c r="M7">
        <v>1.556</v>
      </c>
      <c r="O7" t="s">
        <v>105</v>
      </c>
      <c r="P7" s="18">
        <v>45959</v>
      </c>
      <c r="Q7" s="19">
        <v>0.66805555555555551</v>
      </c>
      <c r="R7">
        <v>2.87</v>
      </c>
      <c r="S7">
        <v>2.87</v>
      </c>
      <c r="T7">
        <v>2.2679999999999998</v>
      </c>
      <c r="V7" t="s">
        <v>105</v>
      </c>
      <c r="W7" s="18">
        <v>45959</v>
      </c>
      <c r="X7" s="19">
        <v>0.67013888888888884</v>
      </c>
      <c r="Y7">
        <v>1.05</v>
      </c>
      <c r="Z7">
        <v>1.05</v>
      </c>
      <c r="AA7">
        <v>6.742</v>
      </c>
      <c r="AC7" t="s">
        <v>103</v>
      </c>
      <c r="AD7" s="18">
        <v>45959</v>
      </c>
      <c r="AE7" s="19">
        <v>0.66805555555555551</v>
      </c>
      <c r="AF7">
        <v>3.7805</v>
      </c>
      <c r="AG7">
        <v>4.13</v>
      </c>
      <c r="AH7">
        <v>3.6760000000000002</v>
      </c>
      <c r="AJ7" t="s">
        <v>104</v>
      </c>
      <c r="AK7" s="18">
        <v>46042</v>
      </c>
      <c r="AL7" s="19">
        <v>0.67222222222222228</v>
      </c>
      <c r="AM7">
        <v>0.56000000000000005</v>
      </c>
      <c r="AN7">
        <v>0.56000000000000005</v>
      </c>
      <c r="AO7">
        <v>0.54600000000000004</v>
      </c>
      <c r="AQ7" t="s">
        <v>193</v>
      </c>
      <c r="AR7" s="18">
        <v>45980</v>
      </c>
      <c r="AS7" s="19">
        <v>0.68055555555555558</v>
      </c>
      <c r="AT7">
        <v>1.319</v>
      </c>
      <c r="AU7">
        <v>1.3</v>
      </c>
      <c r="AV7">
        <v>1.2589999999999999</v>
      </c>
      <c r="AX7" t="s">
        <v>105</v>
      </c>
      <c r="AY7" s="18">
        <v>45964</v>
      </c>
      <c r="AZ7" s="19">
        <v>0.67013888888888884</v>
      </c>
      <c r="BA7">
        <v>0.1817</v>
      </c>
      <c r="BB7">
        <v>0.21</v>
      </c>
      <c r="BC7">
        <v>0.16800000000000001</v>
      </c>
      <c r="BE7" t="s">
        <v>105</v>
      </c>
      <c r="BF7" s="18">
        <v>45952</v>
      </c>
      <c r="BG7" s="19">
        <v>0.66874999999999996</v>
      </c>
      <c r="BH7">
        <v>0.42570000000000002</v>
      </c>
      <c r="BI7">
        <v>0.5</v>
      </c>
      <c r="BJ7">
        <v>0.53700000000000003</v>
      </c>
      <c r="BL7" t="s">
        <v>105</v>
      </c>
      <c r="BM7" s="18">
        <v>45946</v>
      </c>
      <c r="BN7" s="19">
        <v>0.56388888888888888</v>
      </c>
      <c r="BO7">
        <v>88.351100000000002</v>
      </c>
      <c r="BP7">
        <v>87.2</v>
      </c>
      <c r="BQ7">
        <v>79</v>
      </c>
      <c r="BS7" t="s">
        <v>104</v>
      </c>
      <c r="BT7" s="18">
        <v>46002</v>
      </c>
      <c r="BU7" s="19">
        <v>0.67708333333333337</v>
      </c>
      <c r="BV7">
        <v>2.1619999999999999</v>
      </c>
      <c r="BW7">
        <v>1.95</v>
      </c>
      <c r="BX7">
        <v>1.867</v>
      </c>
      <c r="BZ7" t="s">
        <v>105</v>
      </c>
      <c r="CA7" s="18">
        <v>45965</v>
      </c>
      <c r="CB7" s="19">
        <v>0.67708333333333337</v>
      </c>
      <c r="CC7">
        <v>0.7248</v>
      </c>
      <c r="CD7">
        <v>1.2</v>
      </c>
      <c r="CE7">
        <v>1.1679999999999999</v>
      </c>
      <c r="CG7" t="s">
        <v>104</v>
      </c>
      <c r="CH7" s="18">
        <v>45923</v>
      </c>
      <c r="CI7" s="19">
        <v>0.66736111111111107</v>
      </c>
      <c r="CJ7">
        <v>2.8839999999999999</v>
      </c>
      <c r="CK7">
        <v>3.03</v>
      </c>
      <c r="CL7">
        <v>2.8420000000000001</v>
      </c>
      <c r="CN7" t="s">
        <v>105</v>
      </c>
      <c r="CO7" s="18">
        <v>45960</v>
      </c>
      <c r="CP7" s="19">
        <v>0.68194444444444446</v>
      </c>
      <c r="CQ7">
        <v>-1.5073000000000001</v>
      </c>
      <c r="CR7">
        <v>8.8300999999999998</v>
      </c>
      <c r="CS7">
        <v>15.865</v>
      </c>
      <c r="CU7" t="s">
        <v>105</v>
      </c>
      <c r="CV7" s="18">
        <v>45960</v>
      </c>
      <c r="CW7" s="19">
        <v>0.67500000000000004</v>
      </c>
      <c r="CX7">
        <v>1.9516</v>
      </c>
      <c r="CY7">
        <v>1.44</v>
      </c>
      <c r="CZ7">
        <v>1.206</v>
      </c>
      <c r="DB7" t="s">
        <v>105</v>
      </c>
      <c r="DC7" s="18">
        <v>45966</v>
      </c>
      <c r="DD7" s="19">
        <v>0.67013888888888884</v>
      </c>
      <c r="DE7">
        <v>0.61</v>
      </c>
      <c r="DF7">
        <v>0.61</v>
      </c>
      <c r="DG7">
        <v>0.52600000000000002</v>
      </c>
      <c r="DI7" t="s">
        <v>105</v>
      </c>
      <c r="DJ7" s="18">
        <v>45965</v>
      </c>
      <c r="DK7" s="19">
        <v>0.29236111111111113</v>
      </c>
      <c r="DL7">
        <v>0.25390000000000001</v>
      </c>
      <c r="DM7">
        <v>0.34</v>
      </c>
      <c r="DN7">
        <v>0.32800000000000001</v>
      </c>
      <c r="DP7" t="s">
        <v>103</v>
      </c>
      <c r="DQ7" s="18">
        <v>45965</v>
      </c>
      <c r="DR7" s="19">
        <v>0.67013888888888884</v>
      </c>
      <c r="DS7">
        <v>0.27429999999999999</v>
      </c>
      <c r="DT7">
        <v>0.35</v>
      </c>
      <c r="DU7">
        <v>0.41599999999999998</v>
      </c>
      <c r="DW7" t="s">
        <v>102</v>
      </c>
      <c r="DX7" s="18">
        <v>46001</v>
      </c>
      <c r="DY7" s="19">
        <v>0.67013888888888884</v>
      </c>
      <c r="DZ7">
        <v>2.1396999999999999</v>
      </c>
      <c r="EA7">
        <v>2.2599999999999998</v>
      </c>
      <c r="EB7">
        <v>1.6379999999999999</v>
      </c>
      <c r="ED7" t="s">
        <v>193</v>
      </c>
      <c r="EE7" s="18">
        <v>45994</v>
      </c>
      <c r="EF7" s="19">
        <v>0.66736111111111107</v>
      </c>
      <c r="EG7">
        <v>2.1608999999999998</v>
      </c>
      <c r="EH7">
        <v>3.25</v>
      </c>
      <c r="EI7">
        <v>2.86</v>
      </c>
      <c r="EK7" t="s">
        <v>104</v>
      </c>
      <c r="EL7" s="18">
        <v>46001</v>
      </c>
      <c r="EM7" s="19">
        <v>0.67013888888888884</v>
      </c>
      <c r="EN7">
        <v>4.4290000000000003</v>
      </c>
      <c r="EO7">
        <v>5.5</v>
      </c>
      <c r="EP7">
        <v>5.39</v>
      </c>
      <c r="ER7" t="s">
        <v>105</v>
      </c>
      <c r="ES7" s="18">
        <v>45959</v>
      </c>
      <c r="ET7" s="19">
        <v>0.67361111111111116</v>
      </c>
      <c r="EU7">
        <v>0.51670000000000005</v>
      </c>
      <c r="EV7">
        <v>0.96399999999999997</v>
      </c>
      <c r="EW7">
        <v>0.85399999999999998</v>
      </c>
      <c r="EY7" t="s">
        <v>105</v>
      </c>
      <c r="EZ7" s="18">
        <v>45960</v>
      </c>
      <c r="FA7" s="19">
        <v>0.28125</v>
      </c>
      <c r="FB7">
        <v>7.4825999999999997</v>
      </c>
      <c r="FC7">
        <v>7.02</v>
      </c>
      <c r="FD7">
        <v>5.7110000000000003</v>
      </c>
      <c r="FF7" t="s">
        <v>104</v>
      </c>
      <c r="FG7" s="18">
        <v>46049</v>
      </c>
      <c r="FH7" s="19">
        <v>0.25</v>
      </c>
      <c r="FI7">
        <v>2.1415000000000002</v>
      </c>
      <c r="FJ7">
        <v>2.11</v>
      </c>
      <c r="FK7">
        <v>2.1019999999999999</v>
      </c>
      <c r="FM7" t="s">
        <v>195</v>
      </c>
      <c r="FN7" s="18">
        <v>46490</v>
      </c>
      <c r="FO7" s="19">
        <v>0.28125</v>
      </c>
      <c r="FP7">
        <v>-2.4245362661989844E-14</v>
      </c>
      <c r="FQ7">
        <v>-2.4245362661989844E-14</v>
      </c>
      <c r="FR7">
        <v>6.1760000000000002</v>
      </c>
      <c r="FT7" t="s">
        <v>103</v>
      </c>
      <c r="FU7" s="18">
        <v>46002</v>
      </c>
      <c r="FV7" s="19">
        <v>0.67708333333333337</v>
      </c>
      <c r="FW7">
        <v>4.5</v>
      </c>
      <c r="FX7">
        <v>4.5</v>
      </c>
      <c r="FY7">
        <v>4.2779999999999996</v>
      </c>
      <c r="GA7" t="s">
        <v>105</v>
      </c>
      <c r="GB7" s="18">
        <v>45961</v>
      </c>
      <c r="GC7" s="19">
        <v>0.27083333333333331</v>
      </c>
      <c r="GD7">
        <v>1.641</v>
      </c>
      <c r="GE7">
        <v>1.88</v>
      </c>
      <c r="GF7">
        <v>1.8129999999999999</v>
      </c>
    </row>
    <row r="8" spans="1:188" x14ac:dyDescent="0.3">
      <c r="A8" t="s">
        <v>105</v>
      </c>
      <c r="B8">
        <v>45869</v>
      </c>
      <c r="C8" s="19">
        <v>0.6875</v>
      </c>
      <c r="D8">
        <v>1.57</v>
      </c>
      <c r="E8">
        <v>1.57</v>
      </c>
      <c r="F8">
        <v>1.4330000000000001</v>
      </c>
      <c r="H8" t="s">
        <v>106</v>
      </c>
      <c r="I8" s="18">
        <v>45869</v>
      </c>
      <c r="J8" s="19">
        <v>0.66736111111111107</v>
      </c>
      <c r="K8">
        <v>1.68</v>
      </c>
      <c r="L8">
        <v>1.68</v>
      </c>
      <c r="M8">
        <v>1.32</v>
      </c>
      <c r="O8" t="s">
        <v>106</v>
      </c>
      <c r="P8" s="18">
        <v>45861</v>
      </c>
      <c r="Q8" s="19">
        <v>0.67013888888888884</v>
      </c>
      <c r="R8">
        <v>2.31</v>
      </c>
      <c r="S8">
        <v>2.31</v>
      </c>
      <c r="T8">
        <v>2.177</v>
      </c>
      <c r="V8" t="s">
        <v>106</v>
      </c>
      <c r="W8" s="18">
        <v>45868</v>
      </c>
      <c r="X8" s="19">
        <v>0.67638888888888893</v>
      </c>
      <c r="Y8">
        <v>7.14</v>
      </c>
      <c r="Z8">
        <v>7.14</v>
      </c>
      <c r="AA8">
        <v>5.8869999999999996</v>
      </c>
      <c r="AC8" t="s">
        <v>104</v>
      </c>
      <c r="AD8" s="18">
        <v>45868</v>
      </c>
      <c r="AE8" s="19">
        <v>0.66805555555555551</v>
      </c>
      <c r="AF8">
        <v>3.6633</v>
      </c>
      <c r="AG8">
        <v>3.65</v>
      </c>
      <c r="AH8">
        <v>3.3730000000000002</v>
      </c>
      <c r="AJ8" t="s">
        <v>105</v>
      </c>
      <c r="AK8" s="18">
        <v>45951</v>
      </c>
      <c r="AL8" s="19">
        <v>0.66805555555555551</v>
      </c>
      <c r="AM8">
        <v>0.58699999999999997</v>
      </c>
      <c r="AN8">
        <v>0.58699999999999997</v>
      </c>
      <c r="AO8">
        <v>0.69499999999999995</v>
      </c>
      <c r="AQ8" t="s">
        <v>102</v>
      </c>
      <c r="AR8" s="18">
        <v>45896</v>
      </c>
      <c r="AS8" s="19">
        <v>0.68055555555555558</v>
      </c>
      <c r="AT8">
        <v>0.97199999999999998</v>
      </c>
      <c r="AU8">
        <v>1.05</v>
      </c>
      <c r="AV8">
        <v>1.014</v>
      </c>
      <c r="AX8" t="s">
        <v>106</v>
      </c>
      <c r="AY8" s="18">
        <v>45873</v>
      </c>
      <c r="AZ8" s="19">
        <v>0.67013888888888884</v>
      </c>
      <c r="BA8">
        <v>0.12659999999999999</v>
      </c>
      <c r="BB8">
        <v>0.16</v>
      </c>
      <c r="BC8">
        <v>0.13900000000000001</v>
      </c>
      <c r="BE8" t="s">
        <v>106</v>
      </c>
      <c r="BF8" s="18">
        <v>45861</v>
      </c>
      <c r="BG8" s="19">
        <v>0.67361111111111116</v>
      </c>
      <c r="BH8">
        <v>0.26690000000000003</v>
      </c>
      <c r="BI8">
        <v>0.4</v>
      </c>
      <c r="BJ8">
        <v>0.42299999999999999</v>
      </c>
      <c r="BL8" t="s">
        <v>106</v>
      </c>
      <c r="BM8" s="18">
        <v>45855</v>
      </c>
      <c r="BN8" s="19">
        <v>0.56805555555555554</v>
      </c>
      <c r="BO8">
        <v>75.112099999999998</v>
      </c>
      <c r="BP8">
        <v>76.8</v>
      </c>
      <c r="BQ8">
        <v>72.765000000000001</v>
      </c>
      <c r="BS8" t="s">
        <v>105</v>
      </c>
      <c r="BT8" s="18">
        <v>45904</v>
      </c>
      <c r="BU8" s="19">
        <v>0.67708333333333337</v>
      </c>
      <c r="BV8">
        <v>0.9153</v>
      </c>
      <c r="BW8">
        <v>1.69</v>
      </c>
      <c r="BX8">
        <v>1.6659999999999999</v>
      </c>
      <c r="BZ8" t="s">
        <v>106</v>
      </c>
      <c r="CA8" s="18">
        <v>45874</v>
      </c>
      <c r="CB8" s="19">
        <v>0.67708333333333337</v>
      </c>
      <c r="CC8">
        <v>0.48899999999999999</v>
      </c>
      <c r="CD8">
        <v>0.48</v>
      </c>
      <c r="CE8">
        <v>0.48799999999999999</v>
      </c>
      <c r="CG8" t="s">
        <v>105</v>
      </c>
      <c r="CH8" s="18">
        <v>45833</v>
      </c>
      <c r="CI8" s="19">
        <v>0.66736111111111107</v>
      </c>
      <c r="CJ8">
        <v>1.7584</v>
      </c>
      <c r="CK8">
        <v>1.91</v>
      </c>
      <c r="CL8">
        <v>1.599</v>
      </c>
      <c r="CN8" t="s">
        <v>106</v>
      </c>
      <c r="CO8" s="18">
        <v>45869</v>
      </c>
      <c r="CP8" s="19">
        <v>0.66736111111111107</v>
      </c>
      <c r="CQ8">
        <v>-4.0902000000000003</v>
      </c>
      <c r="CR8">
        <v>32.520000000000003</v>
      </c>
      <c r="CS8">
        <v>-9.1999999999999998E-2</v>
      </c>
      <c r="CU8" t="s">
        <v>106</v>
      </c>
      <c r="CV8" s="18">
        <v>45869</v>
      </c>
      <c r="CW8" s="19">
        <v>0.67013888888888884</v>
      </c>
      <c r="CX8">
        <v>1.6746000000000001</v>
      </c>
      <c r="CY8">
        <v>0.12</v>
      </c>
      <c r="CZ8">
        <v>1.3029999999999999</v>
      </c>
      <c r="DB8" t="s">
        <v>106</v>
      </c>
      <c r="DC8" s="18">
        <v>45868</v>
      </c>
      <c r="DD8" s="19">
        <v>0.67013888888888884</v>
      </c>
      <c r="DE8">
        <v>0.42</v>
      </c>
      <c r="DF8">
        <v>0.42</v>
      </c>
      <c r="DG8">
        <v>0.314</v>
      </c>
      <c r="DI8" t="s">
        <v>106</v>
      </c>
      <c r="DJ8" s="18">
        <v>45875</v>
      </c>
      <c r="DK8" s="19">
        <v>0.29583333333333334</v>
      </c>
      <c r="DL8">
        <v>0.2492</v>
      </c>
      <c r="DM8">
        <v>0.35</v>
      </c>
      <c r="DN8">
        <v>0.28899999999999998</v>
      </c>
      <c r="DP8" t="s">
        <v>104</v>
      </c>
      <c r="DQ8" s="18">
        <v>45874</v>
      </c>
      <c r="DR8" s="19">
        <v>0.67013888888888884</v>
      </c>
      <c r="DS8">
        <v>0.31</v>
      </c>
      <c r="DT8">
        <v>0.41</v>
      </c>
      <c r="DU8">
        <v>0.441</v>
      </c>
      <c r="DW8" t="s">
        <v>103</v>
      </c>
      <c r="DX8" s="18">
        <v>45909</v>
      </c>
      <c r="DY8" s="19">
        <v>0.67013888888888884</v>
      </c>
      <c r="DZ8">
        <v>1.1087</v>
      </c>
      <c r="EA8">
        <v>1.47</v>
      </c>
      <c r="EB8">
        <v>1.48</v>
      </c>
      <c r="ED8" t="s">
        <v>102</v>
      </c>
      <c r="EE8" s="18">
        <v>45903</v>
      </c>
      <c r="EF8" s="19">
        <v>0.66736111111111107</v>
      </c>
      <c r="EG8">
        <v>1.9582999999999999</v>
      </c>
      <c r="EH8">
        <v>2.91</v>
      </c>
      <c r="EI8">
        <v>2.7770000000000001</v>
      </c>
      <c r="EK8" t="s">
        <v>105</v>
      </c>
      <c r="EL8" s="18">
        <v>45911</v>
      </c>
      <c r="EM8" s="19">
        <v>0.67013888888888884</v>
      </c>
      <c r="EN8">
        <v>4.1349</v>
      </c>
      <c r="EO8">
        <v>5.31</v>
      </c>
      <c r="EP8">
        <v>5.1790000000000003</v>
      </c>
      <c r="ER8" t="s">
        <v>106</v>
      </c>
      <c r="ES8" s="18">
        <v>45861</v>
      </c>
      <c r="ET8" s="19">
        <v>0.67361111111111116</v>
      </c>
      <c r="EU8">
        <v>0.42280000000000001</v>
      </c>
      <c r="EV8">
        <v>0.81799999999999995</v>
      </c>
      <c r="EW8">
        <v>0.71599999999999997</v>
      </c>
      <c r="EY8" t="s">
        <v>106</v>
      </c>
      <c r="EZ8" s="18">
        <v>45876</v>
      </c>
      <c r="FA8" s="19">
        <v>0.28125</v>
      </c>
      <c r="FB8">
        <v>6.3372000000000002</v>
      </c>
      <c r="FC8">
        <v>6.31</v>
      </c>
      <c r="FD8">
        <v>5.5659999999999998</v>
      </c>
      <c r="FF8" t="s">
        <v>105</v>
      </c>
      <c r="FG8" s="18">
        <v>45958</v>
      </c>
      <c r="FH8" s="19">
        <v>0.24652777777777779</v>
      </c>
      <c r="FI8">
        <v>2.6621999999999999</v>
      </c>
      <c r="FJ8">
        <v>2.92</v>
      </c>
      <c r="FK8">
        <v>2.8260000000000001</v>
      </c>
      <c r="FM8" t="s">
        <v>192</v>
      </c>
      <c r="FN8" s="18">
        <v>46401</v>
      </c>
      <c r="FO8" s="19">
        <v>0.28125</v>
      </c>
      <c r="FP8">
        <v>-2.4245362661989844E-14</v>
      </c>
      <c r="FQ8">
        <v>-2.4245362661989844E-14</v>
      </c>
      <c r="FR8">
        <v>5.92</v>
      </c>
      <c r="FT8" t="s">
        <v>104</v>
      </c>
      <c r="FU8" s="18">
        <v>45925</v>
      </c>
      <c r="FV8" s="19">
        <v>0.67708333333333337</v>
      </c>
      <c r="FW8">
        <v>5.6887999999999996</v>
      </c>
      <c r="FX8">
        <v>5.87</v>
      </c>
      <c r="FY8">
        <v>5.8159999999999998</v>
      </c>
      <c r="GA8" t="s">
        <v>106</v>
      </c>
      <c r="GB8" s="18">
        <v>45870</v>
      </c>
      <c r="GC8" s="19">
        <v>0.27083333333333331</v>
      </c>
      <c r="GD8">
        <v>1.64</v>
      </c>
      <c r="GE8">
        <v>1.64</v>
      </c>
      <c r="GF8">
        <v>1.575</v>
      </c>
    </row>
    <row r="9" spans="1:188" x14ac:dyDescent="0.3">
      <c r="A9" t="s">
        <v>106</v>
      </c>
      <c r="B9">
        <v>45778</v>
      </c>
      <c r="C9" s="19">
        <v>0.6875</v>
      </c>
      <c r="D9">
        <v>1.65</v>
      </c>
      <c r="E9">
        <v>1.65</v>
      </c>
      <c r="F9">
        <v>1.625</v>
      </c>
      <c r="H9" t="s">
        <v>107</v>
      </c>
      <c r="I9" s="18">
        <v>45778</v>
      </c>
      <c r="J9" s="19">
        <v>0.66736111111111107</v>
      </c>
      <c r="K9">
        <v>1.59</v>
      </c>
      <c r="L9">
        <v>1.59</v>
      </c>
      <c r="M9">
        <v>1.3580000000000001</v>
      </c>
      <c r="O9" t="s">
        <v>107</v>
      </c>
      <c r="P9" s="18">
        <v>45771</v>
      </c>
      <c r="Q9" s="19">
        <v>0.66736111111111107</v>
      </c>
      <c r="R9">
        <v>2.81</v>
      </c>
      <c r="S9">
        <v>2.81</v>
      </c>
      <c r="T9">
        <v>2.0070000000000001</v>
      </c>
      <c r="V9" t="s">
        <v>107</v>
      </c>
      <c r="W9" s="18">
        <v>45777</v>
      </c>
      <c r="X9" s="19">
        <v>0.67013888888888884</v>
      </c>
      <c r="Y9">
        <v>6.43</v>
      </c>
      <c r="Z9">
        <v>6.43</v>
      </c>
      <c r="AA9">
        <v>5.2560000000000002</v>
      </c>
      <c r="AC9" t="s">
        <v>105</v>
      </c>
      <c r="AD9" s="18">
        <v>45777</v>
      </c>
      <c r="AE9" s="19">
        <v>0.66666666666666663</v>
      </c>
      <c r="AF9">
        <v>3.4489000000000001</v>
      </c>
      <c r="AG9">
        <v>3.46</v>
      </c>
      <c r="AH9">
        <v>3.214</v>
      </c>
      <c r="AJ9" t="s">
        <v>106</v>
      </c>
      <c r="AK9" s="18">
        <v>45855</v>
      </c>
      <c r="AL9" s="19">
        <v>0.67013888888888884</v>
      </c>
      <c r="AM9">
        <v>0.71899999999999997</v>
      </c>
      <c r="AN9">
        <v>0.71899999999999997</v>
      </c>
      <c r="AO9">
        <v>0.70699999999999996</v>
      </c>
      <c r="AQ9" t="s">
        <v>103</v>
      </c>
      <c r="AR9" s="18">
        <v>45805</v>
      </c>
      <c r="AS9" s="19">
        <v>0.68055555555555558</v>
      </c>
      <c r="AT9">
        <v>0.76839999999999997</v>
      </c>
      <c r="AU9">
        <v>0.81</v>
      </c>
      <c r="AV9">
        <v>0.92700000000000005</v>
      </c>
      <c r="AX9" t="s">
        <v>107</v>
      </c>
      <c r="AY9" s="18">
        <v>45782</v>
      </c>
      <c r="AZ9" s="19">
        <v>0.67013888888888884</v>
      </c>
      <c r="BA9">
        <v>8.3299999999999999E-2</v>
      </c>
      <c r="BB9">
        <v>0.13</v>
      </c>
      <c r="BC9">
        <v>0.129</v>
      </c>
      <c r="BE9" t="s">
        <v>107</v>
      </c>
      <c r="BF9" s="18">
        <v>45769</v>
      </c>
      <c r="BG9" s="19">
        <v>0.67013888888888884</v>
      </c>
      <c r="BH9">
        <v>0.1686</v>
      </c>
      <c r="BI9">
        <v>0.27</v>
      </c>
      <c r="BJ9">
        <v>0.434</v>
      </c>
      <c r="BL9" t="s">
        <v>107</v>
      </c>
      <c r="BM9" s="18">
        <v>45764</v>
      </c>
      <c r="BN9" s="19">
        <v>0.57152777777777775</v>
      </c>
      <c r="BO9">
        <v>70.237300000000005</v>
      </c>
      <c r="BP9">
        <v>69.7</v>
      </c>
      <c r="BQ9">
        <v>67.881</v>
      </c>
      <c r="BS9" t="s">
        <v>106</v>
      </c>
      <c r="BT9" s="18">
        <v>45813</v>
      </c>
      <c r="BU9" s="19">
        <v>0.67708333333333337</v>
      </c>
      <c r="BV9">
        <v>1.0787</v>
      </c>
      <c r="BW9">
        <v>1.58</v>
      </c>
      <c r="BX9">
        <v>1.56</v>
      </c>
      <c r="BZ9" t="s">
        <v>107</v>
      </c>
      <c r="CA9" s="18">
        <v>45783</v>
      </c>
      <c r="CB9" s="19">
        <v>0.67708333333333337</v>
      </c>
      <c r="CC9">
        <v>0.4617</v>
      </c>
      <c r="CD9">
        <v>0.96</v>
      </c>
      <c r="CE9">
        <v>0.94299999999999995</v>
      </c>
      <c r="CG9" t="s">
        <v>106</v>
      </c>
      <c r="CH9" s="18">
        <v>45736</v>
      </c>
      <c r="CI9" s="19">
        <v>0.66666666666666663</v>
      </c>
      <c r="CJ9">
        <v>1.4241999999999999</v>
      </c>
      <c r="CK9">
        <v>1.56</v>
      </c>
      <c r="CL9">
        <v>1.403</v>
      </c>
      <c r="CN9" t="s">
        <v>107</v>
      </c>
      <c r="CO9" s="18">
        <v>45778</v>
      </c>
      <c r="CP9" s="19">
        <v>0.66736111111111107</v>
      </c>
      <c r="CQ9">
        <v>1.702</v>
      </c>
      <c r="CR9">
        <v>-16.53</v>
      </c>
      <c r="CS9">
        <v>-4.2000000000000003E-2</v>
      </c>
      <c r="CU9" t="s">
        <v>107</v>
      </c>
      <c r="CV9" s="18">
        <v>45785</v>
      </c>
      <c r="CW9" s="19">
        <v>0.67569444444444449</v>
      </c>
      <c r="CX9">
        <v>2.9222000000000001</v>
      </c>
      <c r="CY9">
        <v>1.94</v>
      </c>
      <c r="CZ9">
        <v>2.0720000000000001</v>
      </c>
      <c r="DB9" t="s">
        <v>107</v>
      </c>
      <c r="DC9" s="18">
        <v>45777</v>
      </c>
      <c r="DD9" s="19">
        <v>0.67013888888888884</v>
      </c>
      <c r="DE9">
        <v>0.37</v>
      </c>
      <c r="DF9">
        <v>0.37</v>
      </c>
      <c r="DG9">
        <v>0.33600000000000002</v>
      </c>
      <c r="DI9" t="s">
        <v>107</v>
      </c>
      <c r="DJ9" s="18">
        <v>45785</v>
      </c>
      <c r="DK9" s="19">
        <v>0.29166666666666669</v>
      </c>
      <c r="DL9">
        <v>0.16819999999999999</v>
      </c>
      <c r="DM9">
        <v>0.25</v>
      </c>
      <c r="DN9">
        <v>0.25700000000000001</v>
      </c>
      <c r="DP9" t="s">
        <v>105</v>
      </c>
      <c r="DQ9" s="18">
        <v>45783</v>
      </c>
      <c r="DR9" s="19">
        <v>0.67013888888888884</v>
      </c>
      <c r="DS9">
        <v>0.20610000000000001</v>
      </c>
      <c r="DT9">
        <v>0.31</v>
      </c>
      <c r="DU9">
        <v>0.373</v>
      </c>
      <c r="DW9" t="s">
        <v>104</v>
      </c>
      <c r="DX9" s="18">
        <v>45819</v>
      </c>
      <c r="DY9" s="19">
        <v>0.67013888888888884</v>
      </c>
      <c r="DZ9">
        <v>1.2883</v>
      </c>
      <c r="EA9">
        <v>1.7</v>
      </c>
      <c r="EB9">
        <v>1.643</v>
      </c>
      <c r="ED9" t="s">
        <v>103</v>
      </c>
      <c r="EE9" s="18">
        <v>45805</v>
      </c>
      <c r="EF9" s="19">
        <v>0.66805555555555551</v>
      </c>
      <c r="EG9">
        <v>1.6701999999999999</v>
      </c>
      <c r="EH9">
        <v>2.58</v>
      </c>
      <c r="EI9">
        <v>2.5489999999999999</v>
      </c>
      <c r="EK9" t="s">
        <v>106</v>
      </c>
      <c r="EL9" s="18">
        <v>45820</v>
      </c>
      <c r="EM9" s="19">
        <v>0.67013888888888884</v>
      </c>
      <c r="EN9">
        <v>3.9359999999999999</v>
      </c>
      <c r="EO9">
        <v>5.0599999999999996</v>
      </c>
      <c r="EP9">
        <v>4.9749999999999996</v>
      </c>
      <c r="ER9" t="s">
        <v>107</v>
      </c>
      <c r="ES9" s="18">
        <v>45770</v>
      </c>
      <c r="ET9" s="19">
        <v>0.67361111111111116</v>
      </c>
      <c r="EU9">
        <v>0.4481</v>
      </c>
      <c r="EV9">
        <v>0.80800000000000005</v>
      </c>
      <c r="EW9">
        <v>0.76700000000000002</v>
      </c>
      <c r="EY9" t="s">
        <v>107</v>
      </c>
      <c r="EZ9" s="18">
        <v>45778</v>
      </c>
      <c r="FA9" s="19">
        <v>0.28125</v>
      </c>
      <c r="FB9">
        <v>4.6028000000000002</v>
      </c>
      <c r="FC9">
        <v>3.34</v>
      </c>
      <c r="FD9">
        <v>3.1019999999999999</v>
      </c>
      <c r="FF9" t="s">
        <v>106</v>
      </c>
      <c r="FG9" s="18">
        <v>45867</v>
      </c>
      <c r="FH9" s="19">
        <v>0.24652777777777779</v>
      </c>
      <c r="FI9">
        <v>3.7755999999999998</v>
      </c>
      <c r="FJ9">
        <v>4.08</v>
      </c>
      <c r="FK9">
        <v>4.5890000000000004</v>
      </c>
      <c r="FM9" t="s">
        <v>193</v>
      </c>
      <c r="FN9" s="18">
        <v>46308</v>
      </c>
      <c r="FO9" s="19">
        <v>0.29166666666666669</v>
      </c>
      <c r="FP9">
        <v>-2.4245362661989844E-14</v>
      </c>
      <c r="FQ9">
        <v>-2.4245362661989844E-14</v>
      </c>
      <c r="FR9">
        <v>5.8220000000000001</v>
      </c>
      <c r="FT9" t="s">
        <v>105</v>
      </c>
      <c r="FU9" s="18">
        <v>45806</v>
      </c>
      <c r="FV9" s="19">
        <v>0.67708333333333337</v>
      </c>
      <c r="FW9">
        <v>4.28</v>
      </c>
      <c r="FX9">
        <v>4.28</v>
      </c>
      <c r="FY9">
        <v>-2.4245362661989844E-14</v>
      </c>
      <c r="GA9" t="s">
        <v>107</v>
      </c>
      <c r="GB9" s="18">
        <v>45779</v>
      </c>
      <c r="GC9" s="19">
        <v>0.27083333333333331</v>
      </c>
      <c r="GD9">
        <v>1.76</v>
      </c>
      <c r="GE9">
        <v>1.76</v>
      </c>
      <c r="GF9">
        <v>1.7629999999999999</v>
      </c>
    </row>
    <row r="10" spans="1:188" x14ac:dyDescent="0.3">
      <c r="A10" t="s">
        <v>107</v>
      </c>
      <c r="B10">
        <v>45687</v>
      </c>
      <c r="C10" s="19">
        <v>0.6875</v>
      </c>
      <c r="D10">
        <v>2.4</v>
      </c>
      <c r="E10">
        <v>2.4</v>
      </c>
      <c r="F10">
        <v>2.35</v>
      </c>
      <c r="H10" t="s">
        <v>108</v>
      </c>
      <c r="I10" s="18">
        <v>45694</v>
      </c>
      <c r="J10" s="19">
        <v>0.66736111111111107</v>
      </c>
      <c r="K10">
        <v>1.86</v>
      </c>
      <c r="L10">
        <v>1.86</v>
      </c>
      <c r="M10">
        <v>1.474</v>
      </c>
      <c r="O10" t="s">
        <v>108</v>
      </c>
      <c r="P10" s="18">
        <v>45692</v>
      </c>
      <c r="Q10" s="19">
        <v>0.66736111111111107</v>
      </c>
      <c r="R10">
        <v>2.15</v>
      </c>
      <c r="S10">
        <v>2.15</v>
      </c>
      <c r="T10">
        <v>2.133</v>
      </c>
      <c r="V10" t="s">
        <v>108</v>
      </c>
      <c r="W10" s="18">
        <v>45686</v>
      </c>
      <c r="X10" s="19">
        <v>0.69444444444444442</v>
      </c>
      <c r="Y10">
        <v>8.02</v>
      </c>
      <c r="Z10">
        <v>8.02</v>
      </c>
      <c r="AA10">
        <v>6.7830000000000004</v>
      </c>
      <c r="AC10" t="s">
        <v>106</v>
      </c>
      <c r="AD10" s="18">
        <v>45686</v>
      </c>
      <c r="AE10" s="19">
        <v>0.66666666666666663</v>
      </c>
      <c r="AF10">
        <v>3.2330999999999999</v>
      </c>
      <c r="AG10">
        <v>3.23</v>
      </c>
      <c r="AH10">
        <v>3.1240000000000001</v>
      </c>
      <c r="AJ10" t="s">
        <v>107</v>
      </c>
      <c r="AK10" s="18">
        <v>45764</v>
      </c>
      <c r="AL10" s="19">
        <v>0.66874999999999996</v>
      </c>
      <c r="AM10">
        <v>0.66100000000000003</v>
      </c>
      <c r="AN10">
        <v>0.66100000000000003</v>
      </c>
      <c r="AO10">
        <v>0.56899999999999995</v>
      </c>
      <c r="AQ10" t="s">
        <v>104</v>
      </c>
      <c r="AR10" s="18">
        <v>45714</v>
      </c>
      <c r="AS10" s="19">
        <v>0.68055555555555558</v>
      </c>
      <c r="AT10">
        <v>0.89080000000000004</v>
      </c>
      <c r="AU10">
        <v>0.89</v>
      </c>
      <c r="AV10">
        <v>0.83899999999999997</v>
      </c>
      <c r="AX10" t="s">
        <v>108</v>
      </c>
      <c r="AY10" s="18">
        <v>45691</v>
      </c>
      <c r="AZ10" s="19">
        <v>0.67013888888888884</v>
      </c>
      <c r="BA10">
        <v>2.7900000000000001E-2</v>
      </c>
      <c r="BB10">
        <v>0.14000000000000001</v>
      </c>
      <c r="BC10">
        <v>0.111</v>
      </c>
      <c r="BE10" t="s">
        <v>108</v>
      </c>
      <c r="BF10" s="18">
        <v>45686</v>
      </c>
      <c r="BG10" s="19">
        <v>0.66874999999999996</v>
      </c>
      <c r="BH10">
        <v>0.52929999999999999</v>
      </c>
      <c r="BI10">
        <v>0.73</v>
      </c>
      <c r="BJ10">
        <v>0.752</v>
      </c>
      <c r="BL10" t="s">
        <v>252</v>
      </c>
      <c r="BM10" s="18">
        <v>45673</v>
      </c>
      <c r="BN10" s="19">
        <v>0.56458333333333333</v>
      </c>
      <c r="BO10">
        <v>227.63659999999999</v>
      </c>
      <c r="BP10">
        <v>226.25</v>
      </c>
      <c r="BQ10">
        <v>224.59200000000001</v>
      </c>
      <c r="BS10" t="s">
        <v>107</v>
      </c>
      <c r="BT10" s="18">
        <v>45722</v>
      </c>
      <c r="BU10" s="19">
        <v>0.67708333333333337</v>
      </c>
      <c r="BV10">
        <v>1.1839999999999999</v>
      </c>
      <c r="BW10">
        <v>1.6</v>
      </c>
      <c r="BX10">
        <v>1.5029999999999999</v>
      </c>
      <c r="BZ10" t="s">
        <v>108</v>
      </c>
      <c r="CA10" s="18">
        <v>45692</v>
      </c>
      <c r="CB10" s="19">
        <v>0.67708333333333337</v>
      </c>
      <c r="CC10">
        <v>0.4078</v>
      </c>
      <c r="CD10">
        <v>1.0900000000000001</v>
      </c>
      <c r="CE10">
        <v>1.0880000000000001</v>
      </c>
      <c r="CG10" t="s">
        <v>107</v>
      </c>
      <c r="CH10" s="18">
        <v>45644</v>
      </c>
      <c r="CI10" s="19">
        <v>0.66736111111111107</v>
      </c>
      <c r="CJ10">
        <v>1.6660999999999999</v>
      </c>
      <c r="CK10">
        <v>1.79</v>
      </c>
      <c r="CL10">
        <v>1.7629999999999999</v>
      </c>
      <c r="CN10" t="s">
        <v>108</v>
      </c>
      <c r="CO10" s="18">
        <v>45693</v>
      </c>
      <c r="CP10" s="19">
        <v>0.66874999999999996</v>
      </c>
      <c r="CQ10">
        <v>0.55640000000000001</v>
      </c>
      <c r="CR10">
        <v>-3.2</v>
      </c>
      <c r="CS10">
        <v>0.04</v>
      </c>
      <c r="CU10" t="s">
        <v>108</v>
      </c>
      <c r="CV10" s="18">
        <v>45701</v>
      </c>
      <c r="CW10" s="19">
        <v>0.67013888888888884</v>
      </c>
      <c r="CX10">
        <v>4.1795</v>
      </c>
      <c r="CY10">
        <v>4.68</v>
      </c>
      <c r="CZ10">
        <v>2.2109999999999999</v>
      </c>
      <c r="DB10" t="s">
        <v>108</v>
      </c>
      <c r="DC10" s="18">
        <v>45700</v>
      </c>
      <c r="DD10" s="19">
        <v>0.67013888888888884</v>
      </c>
      <c r="DE10">
        <v>0.96650000000000003</v>
      </c>
      <c r="DF10">
        <v>1.01</v>
      </c>
      <c r="DG10">
        <v>0.433</v>
      </c>
      <c r="DI10" t="s">
        <v>108</v>
      </c>
      <c r="DJ10" s="18">
        <v>45699</v>
      </c>
      <c r="DK10" s="19">
        <v>0.2951388888888889</v>
      </c>
      <c r="DL10">
        <v>0.34050000000000002</v>
      </c>
      <c r="DM10">
        <v>0.44</v>
      </c>
      <c r="DN10">
        <v>0.42499999999999999</v>
      </c>
      <c r="DP10" t="s">
        <v>106</v>
      </c>
      <c r="DQ10" s="18">
        <v>45713</v>
      </c>
      <c r="DR10" s="19">
        <v>0.70138888888888884</v>
      </c>
      <c r="DS10">
        <v>0.51</v>
      </c>
      <c r="DT10">
        <v>0.51</v>
      </c>
      <c r="DU10">
        <v>0.61799999999999999</v>
      </c>
      <c r="DW10" t="s">
        <v>105</v>
      </c>
      <c r="DX10" s="18">
        <v>45726</v>
      </c>
      <c r="DY10" s="19">
        <v>0.67013888888888884</v>
      </c>
      <c r="DZ10">
        <v>1.0423</v>
      </c>
      <c r="EA10">
        <v>1.47</v>
      </c>
      <c r="EB10">
        <v>1.49</v>
      </c>
      <c r="ED10" t="s">
        <v>104</v>
      </c>
      <c r="EE10" s="18">
        <v>45714</v>
      </c>
      <c r="EF10" s="19">
        <v>0.66736111111111107</v>
      </c>
      <c r="EG10">
        <v>1.8782000000000001</v>
      </c>
      <c r="EH10">
        <v>2.78</v>
      </c>
      <c r="EI10">
        <v>2.6120000000000001</v>
      </c>
      <c r="EK10" t="s">
        <v>107</v>
      </c>
      <c r="EL10" s="18">
        <v>45728</v>
      </c>
      <c r="EM10" s="19">
        <v>0.67013888888888884</v>
      </c>
      <c r="EN10">
        <v>4.1295999999999999</v>
      </c>
      <c r="EO10">
        <v>5.08</v>
      </c>
      <c r="EP10">
        <v>4.9720000000000004</v>
      </c>
      <c r="ER10" t="s">
        <v>108</v>
      </c>
      <c r="ES10" s="18">
        <v>45686</v>
      </c>
      <c r="ET10" s="19">
        <v>0.67361111111111116</v>
      </c>
      <c r="EU10">
        <v>0.38150000000000001</v>
      </c>
      <c r="EV10">
        <v>0.73399999999999999</v>
      </c>
      <c r="EW10">
        <v>0.73499999999999999</v>
      </c>
      <c r="EY10" t="s">
        <v>108</v>
      </c>
      <c r="EZ10" s="18">
        <v>45694</v>
      </c>
      <c r="FA10" s="19">
        <v>0.28125</v>
      </c>
      <c r="FB10">
        <v>5.3638000000000003</v>
      </c>
      <c r="FC10">
        <v>5.32</v>
      </c>
      <c r="FD10">
        <v>5.0350000000000001</v>
      </c>
      <c r="FF10" t="s">
        <v>107</v>
      </c>
      <c r="FG10" s="18">
        <v>45764</v>
      </c>
      <c r="FH10" s="19">
        <v>0.24652777777777779</v>
      </c>
      <c r="FI10">
        <v>6.8628999999999998</v>
      </c>
      <c r="FJ10">
        <v>7.2</v>
      </c>
      <c r="FK10">
        <v>7.274</v>
      </c>
      <c r="FM10" t="s">
        <v>102</v>
      </c>
      <c r="FN10" s="18">
        <v>46217</v>
      </c>
      <c r="FO10" s="19">
        <v>0.27638888888888891</v>
      </c>
      <c r="FP10">
        <v>7.7469000000000001</v>
      </c>
      <c r="FQ10">
        <v>6.14</v>
      </c>
      <c r="FR10">
        <v>5.7290000000000001</v>
      </c>
      <c r="FT10" t="s">
        <v>106</v>
      </c>
      <c r="FU10" s="18">
        <v>45722</v>
      </c>
      <c r="FV10" s="19">
        <v>0.67708333333333337</v>
      </c>
      <c r="FW10">
        <v>4.0199999999999996</v>
      </c>
      <c r="FX10">
        <v>4.0199999999999996</v>
      </c>
      <c r="FY10">
        <v>4.1130000000000004</v>
      </c>
      <c r="GA10" t="s">
        <v>108</v>
      </c>
      <c r="GB10" s="18">
        <v>45688</v>
      </c>
      <c r="GC10" s="19">
        <v>0.27083333333333331</v>
      </c>
      <c r="GD10">
        <v>1.6711</v>
      </c>
      <c r="GE10">
        <v>1.67</v>
      </c>
      <c r="GF10">
        <v>1.548</v>
      </c>
    </row>
    <row r="11" spans="1:188" x14ac:dyDescent="0.3">
      <c r="A11" t="s">
        <v>108</v>
      </c>
      <c r="B11">
        <v>45596</v>
      </c>
      <c r="C11" s="19">
        <v>0.6875</v>
      </c>
      <c r="D11">
        <v>1.6422000000000001</v>
      </c>
      <c r="E11">
        <v>1.64</v>
      </c>
      <c r="F11">
        <v>1.516</v>
      </c>
      <c r="H11" t="s">
        <v>109</v>
      </c>
      <c r="I11" s="18">
        <v>45596</v>
      </c>
      <c r="J11" s="19">
        <v>0.66736111111111107</v>
      </c>
      <c r="K11">
        <v>1.43</v>
      </c>
      <c r="L11">
        <v>1.43</v>
      </c>
      <c r="M11">
        <v>1.143</v>
      </c>
      <c r="O11" t="s">
        <v>109</v>
      </c>
      <c r="P11" s="18">
        <v>45594</v>
      </c>
      <c r="Q11" s="19">
        <v>0.66805555555555551</v>
      </c>
      <c r="R11">
        <v>2.12</v>
      </c>
      <c r="S11">
        <v>2.12</v>
      </c>
      <c r="T11">
        <v>1.84</v>
      </c>
      <c r="V11" t="s">
        <v>109</v>
      </c>
      <c r="W11" s="18">
        <v>45595</v>
      </c>
      <c r="X11" s="19">
        <v>0.67013888888888884</v>
      </c>
      <c r="Y11">
        <v>6.03</v>
      </c>
      <c r="Z11">
        <v>6.03</v>
      </c>
      <c r="AA11">
        <v>5.2510000000000003</v>
      </c>
      <c r="AC11" t="s">
        <v>107</v>
      </c>
      <c r="AD11" s="18">
        <v>45595</v>
      </c>
      <c r="AE11" s="19">
        <v>0.66666666666666663</v>
      </c>
      <c r="AF11">
        <v>3.3367</v>
      </c>
      <c r="AG11">
        <v>3.3</v>
      </c>
      <c r="AH11">
        <v>3.11</v>
      </c>
      <c r="AJ11" t="s">
        <v>108</v>
      </c>
      <c r="AK11" s="18">
        <v>45678</v>
      </c>
      <c r="AL11" s="19">
        <v>0.66805555555555551</v>
      </c>
      <c r="AM11">
        <v>0.42699999999999999</v>
      </c>
      <c r="AN11">
        <v>0.42699999999999999</v>
      </c>
      <c r="AO11">
        <v>0.41699999999999998</v>
      </c>
      <c r="AQ11" t="s">
        <v>105</v>
      </c>
      <c r="AR11" s="18">
        <v>45616</v>
      </c>
      <c r="AS11" s="19">
        <v>0.68055555555555558</v>
      </c>
      <c r="AT11">
        <v>0.78239999999999998</v>
      </c>
      <c r="AU11">
        <v>0.81</v>
      </c>
      <c r="AV11">
        <v>0.745</v>
      </c>
      <c r="AX11" t="s">
        <v>109</v>
      </c>
      <c r="AY11" s="18">
        <v>45600</v>
      </c>
      <c r="AZ11" s="19">
        <v>0.67013888888888884</v>
      </c>
      <c r="BA11">
        <v>6.1899999999999997E-2</v>
      </c>
      <c r="BB11">
        <v>0.1</v>
      </c>
      <c r="BC11">
        <v>0.09</v>
      </c>
      <c r="BE11" t="s">
        <v>109</v>
      </c>
      <c r="BF11" s="18">
        <v>45588</v>
      </c>
      <c r="BG11" s="19">
        <v>0.66874999999999996</v>
      </c>
      <c r="BH11">
        <v>0.65410000000000001</v>
      </c>
      <c r="BI11">
        <v>0.72</v>
      </c>
      <c r="BJ11">
        <v>0.59599999999999997</v>
      </c>
      <c r="BL11" t="s">
        <v>109</v>
      </c>
      <c r="BM11" s="18">
        <v>45582</v>
      </c>
      <c r="BN11" s="19">
        <v>0.56597222222222221</v>
      </c>
      <c r="BO11">
        <v>62.480400000000003</v>
      </c>
      <c r="BP11">
        <v>62.7</v>
      </c>
      <c r="BQ11">
        <v>57.77</v>
      </c>
      <c r="BS11" t="s">
        <v>108</v>
      </c>
      <c r="BT11" s="18">
        <v>45638</v>
      </c>
      <c r="BU11" s="19">
        <v>0.67708333333333337</v>
      </c>
      <c r="BV11">
        <v>0.94199999999999995</v>
      </c>
      <c r="BW11">
        <v>1.42</v>
      </c>
      <c r="BX11">
        <v>1.359</v>
      </c>
      <c r="BZ11" t="s">
        <v>109</v>
      </c>
      <c r="CA11" s="18">
        <v>45594</v>
      </c>
      <c r="CB11" s="19">
        <v>0.67708333333333337</v>
      </c>
      <c r="CC11">
        <v>0.48770000000000002</v>
      </c>
      <c r="CD11">
        <v>0.92</v>
      </c>
      <c r="CE11">
        <v>0.91900000000000004</v>
      </c>
      <c r="CG11" t="s">
        <v>108</v>
      </c>
      <c r="CH11" s="18">
        <v>45560</v>
      </c>
      <c r="CI11" s="19">
        <v>0.67152777777777772</v>
      </c>
      <c r="CJ11">
        <v>0.84770000000000001</v>
      </c>
      <c r="CK11">
        <v>1.18</v>
      </c>
      <c r="CL11">
        <v>1.1160000000000001</v>
      </c>
      <c r="CN11" t="s">
        <v>109</v>
      </c>
      <c r="CO11" s="18">
        <v>45595</v>
      </c>
      <c r="CP11" s="19">
        <v>0.66736111111111107</v>
      </c>
      <c r="CQ11">
        <v>7.4000000000000003E-3</v>
      </c>
      <c r="CR11">
        <v>-1.56</v>
      </c>
      <c r="CS11">
        <v>-3.0000000000000001E-3</v>
      </c>
      <c r="CU11" t="s">
        <v>109</v>
      </c>
      <c r="CV11" s="18">
        <v>45595</v>
      </c>
      <c r="CW11" s="19">
        <v>0.67083333333333328</v>
      </c>
      <c r="CX11">
        <v>1.143</v>
      </c>
      <c r="CY11">
        <v>0.28000000000000003</v>
      </c>
      <c r="CZ11">
        <v>0.42299999999999999</v>
      </c>
      <c r="DB11" t="s">
        <v>109</v>
      </c>
      <c r="DC11" s="18">
        <v>45595</v>
      </c>
      <c r="DD11" s="19">
        <v>0.67013888888888884</v>
      </c>
      <c r="DE11">
        <v>0.17860000000000001</v>
      </c>
      <c r="DF11">
        <v>0.17</v>
      </c>
      <c r="DG11">
        <v>0.17799999999999999</v>
      </c>
      <c r="DI11" t="s">
        <v>109</v>
      </c>
      <c r="DJ11" s="18">
        <v>45608</v>
      </c>
      <c r="DK11" s="19">
        <v>0.29166666666666669</v>
      </c>
      <c r="DL11">
        <v>0.24160000000000001</v>
      </c>
      <c r="DM11">
        <v>0.33</v>
      </c>
      <c r="DN11">
        <v>0.26900000000000002</v>
      </c>
      <c r="DP11" t="s">
        <v>107</v>
      </c>
      <c r="DQ11" s="18">
        <v>45601</v>
      </c>
      <c r="DR11" s="19">
        <v>0.67708333333333337</v>
      </c>
      <c r="DS11">
        <v>6.7000000000000004E-2</v>
      </c>
      <c r="DT11">
        <v>7.2999999999999995E-2</v>
      </c>
      <c r="DU11">
        <v>0.752</v>
      </c>
      <c r="DW11" t="s">
        <v>106</v>
      </c>
      <c r="DX11" s="18">
        <v>45635</v>
      </c>
      <c r="DY11" s="19">
        <v>0.67013888888888884</v>
      </c>
      <c r="DZ11">
        <v>1.1226</v>
      </c>
      <c r="EA11">
        <v>1.47</v>
      </c>
      <c r="EB11">
        <v>1.48</v>
      </c>
      <c r="ED11" t="s">
        <v>105</v>
      </c>
      <c r="EE11" s="18">
        <v>45629</v>
      </c>
      <c r="EF11" s="19">
        <v>0.66736111111111107</v>
      </c>
      <c r="EG11">
        <v>1.7950999999999999</v>
      </c>
      <c r="EH11">
        <v>2.41</v>
      </c>
      <c r="EI11">
        <v>2.44</v>
      </c>
      <c r="EK11" t="s">
        <v>108</v>
      </c>
      <c r="EL11" s="18">
        <v>45637</v>
      </c>
      <c r="EM11" s="19">
        <v>0.67013888888888884</v>
      </c>
      <c r="EN11">
        <v>3.9098000000000002</v>
      </c>
      <c r="EO11">
        <v>4.8099999999999996</v>
      </c>
      <c r="EP11">
        <v>4.6689999999999996</v>
      </c>
      <c r="ER11" t="s">
        <v>109</v>
      </c>
      <c r="ES11" s="18">
        <v>45588</v>
      </c>
      <c r="ET11" s="19">
        <v>0.67361111111111116</v>
      </c>
      <c r="EU11">
        <v>0.41689999999999999</v>
      </c>
      <c r="EV11">
        <v>0.74399999999999999</v>
      </c>
      <c r="EW11">
        <v>0.69099999999999995</v>
      </c>
      <c r="EY11" t="s">
        <v>109</v>
      </c>
      <c r="EZ11" s="18">
        <v>45595</v>
      </c>
      <c r="FA11" s="19">
        <v>0.28125</v>
      </c>
      <c r="FB11">
        <v>3.5184000000000002</v>
      </c>
      <c r="FC11">
        <v>1.18</v>
      </c>
      <c r="FD11">
        <v>1.5269999999999999</v>
      </c>
      <c r="FF11" t="s">
        <v>108</v>
      </c>
      <c r="FG11" s="18">
        <v>45673</v>
      </c>
      <c r="FH11" s="19">
        <v>0.24652777777777779</v>
      </c>
      <c r="FI11">
        <v>6.4448999999999996</v>
      </c>
      <c r="FJ11">
        <v>6.81</v>
      </c>
      <c r="FK11">
        <v>6.7089999999999996</v>
      </c>
      <c r="FM11" t="s">
        <v>103</v>
      </c>
      <c r="FN11" s="18">
        <v>46126</v>
      </c>
      <c r="FO11" s="19">
        <v>0.27291666666666664</v>
      </c>
      <c r="FP11">
        <v>6.0350000000000001</v>
      </c>
      <c r="FQ11">
        <v>5.94</v>
      </c>
      <c r="FR11">
        <v>5.4059999999999997</v>
      </c>
      <c r="FT11" t="s">
        <v>107</v>
      </c>
      <c r="FU11" s="18">
        <v>45638</v>
      </c>
      <c r="FV11" s="19">
        <v>0.67708333333333337</v>
      </c>
      <c r="FW11">
        <v>4.04</v>
      </c>
      <c r="FX11">
        <v>4.04</v>
      </c>
      <c r="FY11">
        <v>3.8090000000000002</v>
      </c>
      <c r="GA11" t="s">
        <v>109</v>
      </c>
      <c r="GB11" s="18">
        <v>45597</v>
      </c>
      <c r="GC11" s="19">
        <v>0.27083333333333331</v>
      </c>
      <c r="GD11">
        <v>1.92</v>
      </c>
      <c r="GE11">
        <v>1.92</v>
      </c>
      <c r="GF11">
        <v>1.8660000000000001</v>
      </c>
    </row>
    <row r="12" spans="1:188" x14ac:dyDescent="0.3">
      <c r="A12" t="s">
        <v>109</v>
      </c>
      <c r="B12">
        <v>45505</v>
      </c>
      <c r="C12" s="19">
        <v>0.6875</v>
      </c>
      <c r="D12">
        <v>1.4</v>
      </c>
      <c r="E12">
        <v>1.4</v>
      </c>
      <c r="F12">
        <v>1.347</v>
      </c>
      <c r="H12" t="s">
        <v>110</v>
      </c>
      <c r="I12" s="18">
        <v>45505</v>
      </c>
      <c r="J12" s="19">
        <v>0.66736111111111107</v>
      </c>
      <c r="K12">
        <v>1.26</v>
      </c>
      <c r="L12">
        <v>1.26</v>
      </c>
      <c r="M12">
        <v>1.018</v>
      </c>
      <c r="O12" t="s">
        <v>110</v>
      </c>
      <c r="P12" s="18">
        <v>45496</v>
      </c>
      <c r="Q12" s="19">
        <v>0.66805555555555551</v>
      </c>
      <c r="R12">
        <v>1.89</v>
      </c>
      <c r="S12">
        <v>1.89</v>
      </c>
      <c r="T12">
        <v>1.8440000000000001</v>
      </c>
      <c r="V12" t="s">
        <v>110</v>
      </c>
      <c r="W12" s="18">
        <v>45504</v>
      </c>
      <c r="X12" s="19">
        <v>0.67013888888888884</v>
      </c>
      <c r="Y12">
        <v>5.16</v>
      </c>
      <c r="Z12">
        <v>5.16</v>
      </c>
      <c r="AA12">
        <v>4.7519999999999998</v>
      </c>
      <c r="AC12" t="s">
        <v>108</v>
      </c>
      <c r="AD12" s="18">
        <v>45503</v>
      </c>
      <c r="AE12" s="19">
        <v>0.66666666666666663</v>
      </c>
      <c r="AF12">
        <v>2.9558</v>
      </c>
      <c r="AG12">
        <v>2.95</v>
      </c>
      <c r="AH12">
        <v>2.9390000000000001</v>
      </c>
      <c r="AJ12" t="s">
        <v>109</v>
      </c>
      <c r="AK12" s="18">
        <v>45582</v>
      </c>
      <c r="AL12" s="19">
        <v>0.66666666666666663</v>
      </c>
      <c r="AM12">
        <v>0.54</v>
      </c>
      <c r="AN12">
        <v>0.54</v>
      </c>
      <c r="AO12">
        <v>0.51200000000000001</v>
      </c>
      <c r="AQ12" t="s">
        <v>106</v>
      </c>
      <c r="AR12" s="18">
        <v>45532</v>
      </c>
      <c r="AS12" s="19">
        <v>0.68055555555555558</v>
      </c>
      <c r="AT12">
        <v>0.66930000000000001</v>
      </c>
      <c r="AU12">
        <v>0.68</v>
      </c>
      <c r="AV12">
        <v>0.61599999999999999</v>
      </c>
      <c r="AX12" t="s">
        <v>110</v>
      </c>
      <c r="AY12" s="18">
        <v>45509</v>
      </c>
      <c r="AZ12" s="19">
        <v>0.67013888888888884</v>
      </c>
      <c r="BA12">
        <v>6.25E-2</v>
      </c>
      <c r="BB12">
        <v>0.09</v>
      </c>
      <c r="BC12">
        <v>8.1000000000000003E-2</v>
      </c>
      <c r="BE12" t="s">
        <v>110</v>
      </c>
      <c r="BF12" s="18">
        <v>45496</v>
      </c>
      <c r="BG12" s="19">
        <v>0.66874999999999996</v>
      </c>
      <c r="BH12">
        <v>0.56359999999999999</v>
      </c>
      <c r="BI12">
        <v>0.52</v>
      </c>
      <c r="BJ12">
        <v>0.61499999999999999</v>
      </c>
      <c r="BL12" t="s">
        <v>110</v>
      </c>
      <c r="BM12" s="18">
        <v>45491</v>
      </c>
      <c r="BN12" s="19">
        <v>0.56319444444444444</v>
      </c>
      <c r="BO12">
        <v>48.133899999999997</v>
      </c>
      <c r="BP12">
        <v>47.8</v>
      </c>
      <c r="BQ12">
        <v>45.552</v>
      </c>
      <c r="BS12" t="s">
        <v>109</v>
      </c>
      <c r="BT12" s="18">
        <v>45540</v>
      </c>
      <c r="BU12" s="19">
        <v>0.67708333333333337</v>
      </c>
      <c r="BV12">
        <v>0.73029999999999995</v>
      </c>
      <c r="BW12">
        <v>1.24</v>
      </c>
      <c r="BX12">
        <v>1.5640000000000001</v>
      </c>
      <c r="BZ12" t="s">
        <v>110</v>
      </c>
      <c r="CA12" s="18">
        <v>45503</v>
      </c>
      <c r="CB12" s="19">
        <v>0.67708333333333337</v>
      </c>
      <c r="CC12">
        <v>0.1797</v>
      </c>
      <c r="CD12">
        <v>0.69</v>
      </c>
      <c r="CE12">
        <v>0.68400000000000005</v>
      </c>
      <c r="CG12" t="s">
        <v>109</v>
      </c>
      <c r="CH12" s="18">
        <v>45469</v>
      </c>
      <c r="CI12" s="19">
        <v>0.6694444444444444</v>
      </c>
      <c r="CJ12">
        <v>0.44900000000000001</v>
      </c>
      <c r="CK12">
        <v>0.62</v>
      </c>
      <c r="CL12">
        <v>0.501</v>
      </c>
      <c r="CN12" t="s">
        <v>110</v>
      </c>
      <c r="CO12" s="18">
        <v>45505</v>
      </c>
      <c r="CP12" s="19">
        <v>0.66736111111111107</v>
      </c>
      <c r="CQ12">
        <v>0.2223</v>
      </c>
      <c r="CR12">
        <v>-0.76200000000000001</v>
      </c>
      <c r="CS12">
        <v>1.7999999999999999E-2</v>
      </c>
      <c r="CU12" t="s">
        <v>110</v>
      </c>
      <c r="CV12" s="18">
        <v>45505</v>
      </c>
      <c r="CW12" s="19">
        <v>0.67569444444444449</v>
      </c>
      <c r="CX12">
        <v>1.8626</v>
      </c>
      <c r="CY12">
        <v>0.14000000000000001</v>
      </c>
      <c r="CZ12">
        <v>0.86699999999999999</v>
      </c>
      <c r="DB12" t="s">
        <v>110</v>
      </c>
      <c r="DC12" s="18">
        <v>45511</v>
      </c>
      <c r="DD12" s="19">
        <v>0.67013888888888884</v>
      </c>
      <c r="DE12">
        <v>0.21</v>
      </c>
      <c r="DF12">
        <v>0.21</v>
      </c>
      <c r="DG12">
        <v>0.14799999999999999</v>
      </c>
      <c r="DI12" t="s">
        <v>110</v>
      </c>
      <c r="DJ12" s="18">
        <v>45511</v>
      </c>
      <c r="DK12" s="19">
        <v>0.29305555555555557</v>
      </c>
      <c r="DL12">
        <v>0.14580000000000001</v>
      </c>
      <c r="DM12">
        <v>0.26</v>
      </c>
      <c r="DN12">
        <v>0.20200000000000001</v>
      </c>
      <c r="DP12" t="s">
        <v>108</v>
      </c>
      <c r="DQ12" s="18">
        <v>45510</v>
      </c>
      <c r="DR12" s="19">
        <v>0.6791666666666667</v>
      </c>
      <c r="DS12">
        <v>0.46329999999999999</v>
      </c>
      <c r="DT12">
        <v>0.625</v>
      </c>
      <c r="DU12">
        <v>0.81200000000000006</v>
      </c>
      <c r="DW12" t="s">
        <v>107</v>
      </c>
      <c r="DX12" s="18">
        <v>45544</v>
      </c>
      <c r="DY12" s="19">
        <v>0.67013888888888884</v>
      </c>
      <c r="DZ12">
        <v>1.0482</v>
      </c>
      <c r="EA12">
        <v>1.39</v>
      </c>
      <c r="EB12">
        <v>1.3340000000000001</v>
      </c>
      <c r="ED12" t="s">
        <v>106</v>
      </c>
      <c r="EE12" s="18">
        <v>45532</v>
      </c>
      <c r="EF12" s="19">
        <v>0.66736111111111107</v>
      </c>
      <c r="EG12">
        <v>1.5797000000000001</v>
      </c>
      <c r="EH12">
        <v>2.56</v>
      </c>
      <c r="EI12">
        <v>2.3530000000000002</v>
      </c>
      <c r="EK12" t="s">
        <v>109</v>
      </c>
      <c r="EL12" s="18">
        <v>45547</v>
      </c>
      <c r="EM12" s="19">
        <v>0.67013888888888884</v>
      </c>
      <c r="EN12">
        <v>3.6438000000000001</v>
      </c>
      <c r="EO12">
        <v>4.6500000000000004</v>
      </c>
      <c r="EP12">
        <v>4.5350000000000001</v>
      </c>
      <c r="ER12" t="s">
        <v>110</v>
      </c>
      <c r="ES12" s="18">
        <v>45497</v>
      </c>
      <c r="ET12" s="19">
        <v>0.67361111111111116</v>
      </c>
      <c r="EU12">
        <v>0.26140000000000002</v>
      </c>
      <c r="EV12">
        <v>0.626</v>
      </c>
      <c r="EW12">
        <v>0.57299999999999995</v>
      </c>
      <c r="EY12" t="s">
        <v>110</v>
      </c>
      <c r="EZ12" s="18">
        <v>45512</v>
      </c>
      <c r="FA12" s="19">
        <v>0.28125</v>
      </c>
      <c r="FB12">
        <v>3.9275000000000002</v>
      </c>
      <c r="FC12">
        <v>3.92</v>
      </c>
      <c r="FD12">
        <v>2.6190000000000002</v>
      </c>
      <c r="FF12" t="s">
        <v>109</v>
      </c>
      <c r="FG12" s="18">
        <v>45580</v>
      </c>
      <c r="FH12" s="19">
        <v>0.24652777777777779</v>
      </c>
      <c r="FI12">
        <v>6.8045999999999998</v>
      </c>
      <c r="FJ12">
        <v>7.15</v>
      </c>
      <c r="FK12">
        <v>6.9870000000000001</v>
      </c>
      <c r="FM12" t="s">
        <v>104</v>
      </c>
      <c r="FN12" s="18">
        <v>46035</v>
      </c>
      <c r="FO12" s="19">
        <v>0.27847222222222223</v>
      </c>
      <c r="FP12">
        <v>4.6483999999999996</v>
      </c>
      <c r="FQ12">
        <v>5.23</v>
      </c>
      <c r="FR12">
        <v>5.0049999999999999</v>
      </c>
      <c r="FT12" t="s">
        <v>108</v>
      </c>
      <c r="FU12" s="18">
        <v>45561</v>
      </c>
      <c r="FV12" s="19">
        <v>0.67708333333333337</v>
      </c>
      <c r="FW12">
        <v>5.3361999999999998</v>
      </c>
      <c r="FX12">
        <v>5.29</v>
      </c>
      <c r="FY12">
        <v>5.0670000000000002</v>
      </c>
      <c r="GA12" t="s">
        <v>110</v>
      </c>
      <c r="GB12" s="18">
        <v>45506</v>
      </c>
      <c r="GC12" s="19">
        <v>0.27083333333333331</v>
      </c>
      <c r="GD12">
        <v>2.14</v>
      </c>
      <c r="GE12">
        <v>2.14</v>
      </c>
      <c r="GF12">
        <v>2.052</v>
      </c>
    </row>
    <row r="13" spans="1:188" x14ac:dyDescent="0.3">
      <c r="A13" t="s">
        <v>110</v>
      </c>
      <c r="B13">
        <v>45414</v>
      </c>
      <c r="C13" s="19">
        <v>0.6875</v>
      </c>
      <c r="D13">
        <v>1.53</v>
      </c>
      <c r="E13">
        <v>1.53</v>
      </c>
      <c r="F13">
        <v>1.502</v>
      </c>
      <c r="H13" t="s">
        <v>111</v>
      </c>
      <c r="I13" s="18">
        <v>45412</v>
      </c>
      <c r="J13" s="19">
        <v>0.66736111111111107</v>
      </c>
      <c r="K13">
        <v>0.98</v>
      </c>
      <c r="L13">
        <v>0.98</v>
      </c>
      <c r="M13">
        <v>0.82299999999999995</v>
      </c>
      <c r="O13" t="s">
        <v>111</v>
      </c>
      <c r="P13" s="18">
        <v>45407</v>
      </c>
      <c r="Q13" s="19">
        <v>0.66805555555555551</v>
      </c>
      <c r="R13">
        <v>1.89</v>
      </c>
      <c r="S13">
        <v>1.89</v>
      </c>
      <c r="T13">
        <v>1.5229999999999999</v>
      </c>
      <c r="V13" t="s">
        <v>111</v>
      </c>
      <c r="W13" s="18">
        <v>45406</v>
      </c>
      <c r="X13" s="19">
        <v>0.67013888888888884</v>
      </c>
      <c r="Y13">
        <v>4.71</v>
      </c>
      <c r="Z13">
        <v>4.71</v>
      </c>
      <c r="AA13">
        <v>4.2729999999999997</v>
      </c>
      <c r="AC13" t="s">
        <v>109</v>
      </c>
      <c r="AD13" s="18">
        <v>45407</v>
      </c>
      <c r="AE13" s="19">
        <v>0.66666666666666663</v>
      </c>
      <c r="AF13">
        <v>2.9384000000000001</v>
      </c>
      <c r="AG13">
        <v>2.94</v>
      </c>
      <c r="AH13">
        <v>2.831</v>
      </c>
      <c r="AJ13" t="s">
        <v>110</v>
      </c>
      <c r="AK13" s="18">
        <v>45491</v>
      </c>
      <c r="AL13" s="19">
        <v>0.66805555555555551</v>
      </c>
      <c r="AM13">
        <v>0.48799999999999999</v>
      </c>
      <c r="AN13">
        <v>0.48799999999999999</v>
      </c>
      <c r="AO13">
        <v>0.47399999999999998</v>
      </c>
      <c r="AQ13" t="s">
        <v>107</v>
      </c>
      <c r="AR13" s="18">
        <v>45434</v>
      </c>
      <c r="AS13" s="19">
        <v>0.68055555555555558</v>
      </c>
      <c r="AT13">
        <v>0.59889999999999999</v>
      </c>
      <c r="AU13">
        <v>0.61199999999999999</v>
      </c>
      <c r="AV13">
        <v>0.56299999999999994</v>
      </c>
      <c r="AX13" t="s">
        <v>111</v>
      </c>
      <c r="AY13" s="18">
        <v>45418</v>
      </c>
      <c r="AZ13" s="19">
        <v>0.67013888888888884</v>
      </c>
      <c r="BA13">
        <v>4.41E-2</v>
      </c>
      <c r="BB13">
        <v>0.08</v>
      </c>
      <c r="BC13">
        <v>7.9000000000000001E-2</v>
      </c>
      <c r="BE13" t="s">
        <v>111</v>
      </c>
      <c r="BF13" s="18">
        <v>45405</v>
      </c>
      <c r="BG13" s="19">
        <v>0.66874999999999996</v>
      </c>
      <c r="BH13">
        <v>0.33510000000000001</v>
      </c>
      <c r="BI13">
        <v>0.45</v>
      </c>
      <c r="BJ13">
        <v>0.53100000000000003</v>
      </c>
      <c r="BL13" t="s">
        <v>111</v>
      </c>
      <c r="BM13" s="18">
        <v>45400</v>
      </c>
      <c r="BN13" s="19">
        <v>0.56388888888888888</v>
      </c>
      <c r="BO13">
        <v>43.979799999999997</v>
      </c>
      <c r="BP13">
        <v>43.5</v>
      </c>
      <c r="BQ13">
        <v>40.317999999999998</v>
      </c>
      <c r="BS13" t="s">
        <v>110</v>
      </c>
      <c r="BT13" s="18">
        <v>45455</v>
      </c>
      <c r="BU13" s="19">
        <v>0.67708333333333337</v>
      </c>
      <c r="BV13">
        <v>0.51739999999999997</v>
      </c>
      <c r="BW13">
        <v>1.0960000000000001</v>
      </c>
      <c r="BX13">
        <v>1.081</v>
      </c>
      <c r="BZ13" t="s">
        <v>111</v>
      </c>
      <c r="CA13" s="18">
        <v>45412</v>
      </c>
      <c r="CB13" s="19">
        <v>0.67708333333333337</v>
      </c>
      <c r="CC13">
        <v>8.4599999999999995E-2</v>
      </c>
      <c r="CD13">
        <v>0.62</v>
      </c>
      <c r="CE13">
        <v>0.622</v>
      </c>
      <c r="CG13" t="s">
        <v>110</v>
      </c>
      <c r="CH13" s="18">
        <v>45371</v>
      </c>
      <c r="CI13" s="19">
        <v>0.67083333333333328</v>
      </c>
      <c r="CJ13">
        <v>0.2712</v>
      </c>
      <c r="CK13">
        <v>0.42</v>
      </c>
      <c r="CL13">
        <v>-0.24</v>
      </c>
      <c r="CN13" t="s">
        <v>111</v>
      </c>
      <c r="CO13" s="18">
        <v>45411</v>
      </c>
      <c r="CP13" s="19">
        <v>0.66736111111111107</v>
      </c>
      <c r="CQ13">
        <v>0.57150000000000001</v>
      </c>
      <c r="CR13">
        <v>-0.82599999999999996</v>
      </c>
      <c r="CS13">
        <v>3.4000000000000002E-2</v>
      </c>
      <c r="CU13" t="s">
        <v>111</v>
      </c>
      <c r="CV13" s="18">
        <v>45414</v>
      </c>
      <c r="CW13" s="19">
        <v>0.66874999999999996</v>
      </c>
      <c r="CX13">
        <v>2.9312999999999998</v>
      </c>
      <c r="CY13">
        <v>4.4000000000000004</v>
      </c>
      <c r="CZ13">
        <v>1.0720000000000001</v>
      </c>
      <c r="DB13" t="s">
        <v>111</v>
      </c>
      <c r="DC13" s="18">
        <v>45420</v>
      </c>
      <c r="DD13" s="19">
        <v>0.67013888888888884</v>
      </c>
      <c r="DE13">
        <v>0.18</v>
      </c>
      <c r="DF13">
        <v>0.18</v>
      </c>
      <c r="DG13">
        <v>6.4000000000000001E-2</v>
      </c>
      <c r="DI13" t="s">
        <v>111</v>
      </c>
      <c r="DJ13" s="18">
        <v>45420</v>
      </c>
      <c r="DK13" s="19">
        <v>0.29166666666666669</v>
      </c>
      <c r="DL13">
        <v>0.1012</v>
      </c>
      <c r="DM13">
        <v>0.2</v>
      </c>
      <c r="DN13">
        <v>0.17199999999999999</v>
      </c>
      <c r="DP13" t="s">
        <v>109</v>
      </c>
      <c r="DQ13" s="18">
        <v>45412</v>
      </c>
      <c r="DR13" s="19">
        <v>0.67013888888888884</v>
      </c>
      <c r="DS13">
        <v>0.65600000000000003</v>
      </c>
      <c r="DT13">
        <v>0.73650000000000004</v>
      </c>
      <c r="DU13">
        <v>0.55800000000000005</v>
      </c>
      <c r="DW13" t="s">
        <v>108</v>
      </c>
      <c r="DX13" s="18">
        <v>45454</v>
      </c>
      <c r="DY13" s="19">
        <v>0.67013888888888884</v>
      </c>
      <c r="DZ13">
        <v>1.1603000000000001</v>
      </c>
      <c r="EA13">
        <v>1.63</v>
      </c>
      <c r="EB13">
        <v>1.645</v>
      </c>
      <c r="ED13" t="s">
        <v>107</v>
      </c>
      <c r="EE13" s="18">
        <v>45441</v>
      </c>
      <c r="EF13" s="19">
        <v>0.66736111111111107</v>
      </c>
      <c r="EG13">
        <v>1.5361</v>
      </c>
      <c r="EH13">
        <v>2.44</v>
      </c>
      <c r="EI13">
        <v>2.3690000000000002</v>
      </c>
      <c r="EK13" t="s">
        <v>110</v>
      </c>
      <c r="EL13" s="18">
        <v>45456</v>
      </c>
      <c r="EM13" s="19">
        <v>0.67013888888888884</v>
      </c>
      <c r="EN13">
        <v>3.4809999999999999</v>
      </c>
      <c r="EO13">
        <v>4.4800000000000004</v>
      </c>
      <c r="EP13">
        <v>4.4000000000000004</v>
      </c>
      <c r="ER13" t="s">
        <v>111</v>
      </c>
      <c r="ES13" s="18">
        <v>45406</v>
      </c>
      <c r="ET13" s="19">
        <v>0.67361111111111116</v>
      </c>
      <c r="EU13">
        <v>0.35830000000000001</v>
      </c>
      <c r="EV13">
        <v>0.68200000000000005</v>
      </c>
      <c r="EW13">
        <v>0.63100000000000001</v>
      </c>
      <c r="EY13" t="s">
        <v>111</v>
      </c>
      <c r="EZ13" s="18">
        <v>45412</v>
      </c>
      <c r="FA13" s="19">
        <v>0.28125</v>
      </c>
      <c r="FB13">
        <v>2.5558999999999998</v>
      </c>
      <c r="FC13">
        <v>2.58</v>
      </c>
      <c r="FD13">
        <v>2.4359999999999999</v>
      </c>
      <c r="FF13" t="s">
        <v>110</v>
      </c>
      <c r="FG13" s="18">
        <v>45489</v>
      </c>
      <c r="FH13" s="19">
        <v>0.24652777777777779</v>
      </c>
      <c r="FI13">
        <v>6.3308999999999997</v>
      </c>
      <c r="FJ13">
        <v>6.8</v>
      </c>
      <c r="FK13">
        <v>6.6040000000000001</v>
      </c>
      <c r="FM13" t="s">
        <v>105</v>
      </c>
      <c r="FN13" s="18">
        <v>45944</v>
      </c>
      <c r="FO13" s="19">
        <v>0.27152777777777776</v>
      </c>
      <c r="FP13">
        <v>5.0796999999999999</v>
      </c>
      <c r="FQ13">
        <v>5.07</v>
      </c>
      <c r="FR13">
        <v>4.8310000000000004</v>
      </c>
      <c r="FT13" t="s">
        <v>109</v>
      </c>
      <c r="FU13" s="18">
        <v>45442</v>
      </c>
      <c r="FV13" s="19">
        <v>0.67708333333333337</v>
      </c>
      <c r="FW13">
        <v>3.7178</v>
      </c>
      <c r="FX13">
        <v>3.78</v>
      </c>
      <c r="FY13">
        <v>-2.4245362661989844E-14</v>
      </c>
      <c r="GA13" t="s">
        <v>111</v>
      </c>
      <c r="GB13" s="18">
        <v>45408</v>
      </c>
      <c r="GC13" s="19">
        <v>0.27083333333333331</v>
      </c>
      <c r="GD13">
        <v>2.06</v>
      </c>
      <c r="GE13">
        <v>2.06</v>
      </c>
      <c r="GF13">
        <v>2.1680000000000001</v>
      </c>
    </row>
    <row r="14" spans="1:188" x14ac:dyDescent="0.3">
      <c r="A14" t="s">
        <v>111</v>
      </c>
      <c r="B14">
        <v>45323</v>
      </c>
      <c r="C14" s="19">
        <v>0.6875</v>
      </c>
      <c r="D14">
        <v>2.1800000000000002</v>
      </c>
      <c r="E14">
        <v>2.1800000000000002</v>
      </c>
      <c r="F14">
        <v>2.1019999999999999</v>
      </c>
      <c r="H14" t="s">
        <v>112</v>
      </c>
      <c r="I14" s="18">
        <v>45323</v>
      </c>
      <c r="J14" s="19">
        <v>0.66736111111111107</v>
      </c>
      <c r="K14">
        <v>1</v>
      </c>
      <c r="L14">
        <v>1.0087999999999999</v>
      </c>
      <c r="M14">
        <v>0.79100000000000004</v>
      </c>
      <c r="O14" t="s">
        <v>112</v>
      </c>
      <c r="P14" s="18">
        <v>45321</v>
      </c>
      <c r="Q14" s="19">
        <v>0.66805555555555551</v>
      </c>
      <c r="R14">
        <v>1.64</v>
      </c>
      <c r="S14">
        <v>1.64</v>
      </c>
      <c r="T14">
        <v>1.591</v>
      </c>
      <c r="V14" t="s">
        <v>112</v>
      </c>
      <c r="W14" s="18">
        <v>45323</v>
      </c>
      <c r="X14" s="19">
        <v>0.67013888888888884</v>
      </c>
      <c r="Y14">
        <v>5.33</v>
      </c>
      <c r="Z14">
        <v>5.33</v>
      </c>
      <c r="AA14">
        <v>4.9240000000000004</v>
      </c>
      <c r="AC14" t="s">
        <v>110</v>
      </c>
      <c r="AD14" s="18">
        <v>45321</v>
      </c>
      <c r="AE14" s="19">
        <v>0.66666666666666663</v>
      </c>
      <c r="AF14">
        <v>2.9681000000000002</v>
      </c>
      <c r="AG14">
        <v>2.93</v>
      </c>
      <c r="AH14">
        <v>2.778</v>
      </c>
      <c r="AJ14" t="s">
        <v>111</v>
      </c>
      <c r="AK14" s="18">
        <v>45400</v>
      </c>
      <c r="AL14" s="19">
        <v>0.66666666666666663</v>
      </c>
      <c r="AM14">
        <v>0.52800000000000002</v>
      </c>
      <c r="AN14">
        <v>0.52800000000000002</v>
      </c>
      <c r="AO14">
        <v>0.45100000000000001</v>
      </c>
      <c r="AQ14" t="s">
        <v>108</v>
      </c>
      <c r="AR14" s="18">
        <v>45343</v>
      </c>
      <c r="AS14" s="19">
        <v>0.68055555555555558</v>
      </c>
      <c r="AT14">
        <v>0.49</v>
      </c>
      <c r="AU14">
        <v>0.51600000000000001</v>
      </c>
      <c r="AV14">
        <v>0.46200000000000002</v>
      </c>
      <c r="AX14" t="s">
        <v>112</v>
      </c>
      <c r="AY14" s="18">
        <v>45327</v>
      </c>
      <c r="AZ14" s="19">
        <v>0.67013888888888884</v>
      </c>
      <c r="BA14">
        <v>4.0500000000000001E-2</v>
      </c>
      <c r="BB14">
        <v>0.08</v>
      </c>
      <c r="BC14">
        <v>7.5999999999999998E-2</v>
      </c>
      <c r="BE14" t="s">
        <v>112</v>
      </c>
      <c r="BF14" s="18">
        <v>45315</v>
      </c>
      <c r="BG14" s="19">
        <v>0.67152777777777772</v>
      </c>
      <c r="BH14">
        <v>0.57269999999999999</v>
      </c>
      <c r="BI14">
        <v>0.71</v>
      </c>
      <c r="BJ14">
        <v>0.73299999999999998</v>
      </c>
      <c r="BL14" t="s">
        <v>253</v>
      </c>
      <c r="BM14" s="18">
        <v>45309</v>
      </c>
      <c r="BN14" s="19">
        <v>0.56527777777777777</v>
      </c>
      <c r="BO14">
        <v>160.75960000000001</v>
      </c>
      <c r="BP14">
        <v>161.69999999999999</v>
      </c>
      <c r="BQ14">
        <v>158.77199999999999</v>
      </c>
      <c r="BS14" t="s">
        <v>111</v>
      </c>
      <c r="BT14" s="18">
        <v>45358</v>
      </c>
      <c r="BU14" s="19">
        <v>0.67708333333333337</v>
      </c>
      <c r="BV14">
        <v>0.44819999999999999</v>
      </c>
      <c r="BW14">
        <v>1.099</v>
      </c>
      <c r="BX14">
        <v>1.042</v>
      </c>
      <c r="BZ14" t="s">
        <v>112</v>
      </c>
      <c r="CA14" s="18">
        <v>45321</v>
      </c>
      <c r="CB14" s="19">
        <v>0.67708333333333337</v>
      </c>
      <c r="CC14">
        <v>0.4284</v>
      </c>
      <c r="CD14">
        <v>0.77</v>
      </c>
      <c r="CE14">
        <v>0.77100000000000002</v>
      </c>
      <c r="CG14" t="s">
        <v>111</v>
      </c>
      <c r="CH14" s="18">
        <v>45280</v>
      </c>
      <c r="CI14" s="19">
        <v>0.6694444444444444</v>
      </c>
      <c r="CJ14">
        <v>-1.0833999999999999</v>
      </c>
      <c r="CK14">
        <v>-0.95</v>
      </c>
      <c r="CL14">
        <v>-0.99399999999999999</v>
      </c>
      <c r="CN14" t="s">
        <v>112</v>
      </c>
      <c r="CO14" s="18">
        <v>45328</v>
      </c>
      <c r="CP14" s="19">
        <v>0.66736111111111107</v>
      </c>
      <c r="CQ14">
        <v>0.66469999999999996</v>
      </c>
      <c r="CR14">
        <v>0.56200000000000006</v>
      </c>
      <c r="CS14">
        <v>6.4000000000000001E-2</v>
      </c>
      <c r="CU14" t="s">
        <v>112</v>
      </c>
      <c r="CV14" s="18">
        <v>45337</v>
      </c>
      <c r="CW14" s="19">
        <v>0.67638888888888893</v>
      </c>
      <c r="CX14">
        <v>1.6105</v>
      </c>
      <c r="CY14">
        <v>1.04</v>
      </c>
      <c r="CZ14">
        <v>4.0000000000000001E-3</v>
      </c>
      <c r="DB14" t="s">
        <v>112</v>
      </c>
      <c r="DC14" s="18">
        <v>45335</v>
      </c>
      <c r="DD14" s="19">
        <v>0.6694444444444444</v>
      </c>
      <c r="DE14">
        <v>0.03</v>
      </c>
      <c r="DF14">
        <v>0.03</v>
      </c>
      <c r="DG14">
        <v>-8.9999999999999993E-3</v>
      </c>
      <c r="DI14" t="s">
        <v>112</v>
      </c>
      <c r="DJ14" s="18">
        <v>45335</v>
      </c>
      <c r="DK14" s="19">
        <v>0.29166666666666669</v>
      </c>
      <c r="DL14">
        <v>0.2482</v>
      </c>
      <c r="DM14">
        <v>0.34</v>
      </c>
      <c r="DN14">
        <v>0.30099999999999999</v>
      </c>
      <c r="DP14" t="s">
        <v>110</v>
      </c>
      <c r="DQ14" s="18">
        <v>45320</v>
      </c>
      <c r="DR14" s="19">
        <v>0.67013888888888884</v>
      </c>
      <c r="DS14">
        <v>0.51</v>
      </c>
      <c r="DT14">
        <v>0.55900000000000005</v>
      </c>
      <c r="DU14">
        <v>0.50700000000000001</v>
      </c>
      <c r="DW14" t="s">
        <v>109</v>
      </c>
      <c r="DX14" s="18">
        <v>45362</v>
      </c>
      <c r="DY14" s="19">
        <v>0.67013888888888884</v>
      </c>
      <c r="DZ14">
        <v>0.9173</v>
      </c>
      <c r="EA14">
        <v>1.41</v>
      </c>
      <c r="EB14">
        <v>1.3779999999999999</v>
      </c>
      <c r="ED14" t="s">
        <v>108</v>
      </c>
      <c r="EE14" s="18">
        <v>45350</v>
      </c>
      <c r="EF14" s="19">
        <v>0.66736111111111107</v>
      </c>
      <c r="EG14">
        <v>1.6073</v>
      </c>
      <c r="EH14">
        <v>2.29</v>
      </c>
      <c r="EI14">
        <v>2.266</v>
      </c>
      <c r="EK14" t="s">
        <v>111</v>
      </c>
      <c r="EL14" s="18">
        <v>45365</v>
      </c>
      <c r="EM14" s="19">
        <v>0.67013888888888884</v>
      </c>
      <c r="EN14">
        <v>3.3452000000000002</v>
      </c>
      <c r="EO14">
        <v>4.4800000000000004</v>
      </c>
      <c r="EP14">
        <v>4.3760000000000003</v>
      </c>
      <c r="ER14" t="s">
        <v>112</v>
      </c>
      <c r="ES14" s="18">
        <v>45315</v>
      </c>
      <c r="ET14" s="19">
        <v>0.67361111111111116</v>
      </c>
      <c r="EU14">
        <v>0.29659999999999997</v>
      </c>
      <c r="EV14">
        <v>0.622</v>
      </c>
      <c r="EW14">
        <v>0.55700000000000005</v>
      </c>
      <c r="EY14" t="s">
        <v>112</v>
      </c>
      <c r="EZ14" s="18">
        <v>45328</v>
      </c>
      <c r="FA14" s="19">
        <v>0.28125</v>
      </c>
      <c r="FB14">
        <v>3.1255000000000002</v>
      </c>
      <c r="FC14">
        <v>2.4900000000000002</v>
      </c>
      <c r="FD14">
        <v>2.2349999999999999</v>
      </c>
      <c r="FF14" t="s">
        <v>111</v>
      </c>
      <c r="FG14" s="18">
        <v>45398</v>
      </c>
      <c r="FH14" s="19">
        <v>0.24652777777777779</v>
      </c>
      <c r="FI14">
        <v>6.6456999999999997</v>
      </c>
      <c r="FJ14">
        <v>6.91</v>
      </c>
      <c r="FK14">
        <v>6.5890000000000004</v>
      </c>
      <c r="FM14" t="s">
        <v>106</v>
      </c>
      <c r="FN14" s="18">
        <v>45853</v>
      </c>
      <c r="FO14" s="19">
        <v>0.27152777777777776</v>
      </c>
      <c r="FP14">
        <v>5.0152999999999999</v>
      </c>
      <c r="FQ14">
        <v>4.96</v>
      </c>
      <c r="FR14">
        <v>4.4740000000000002</v>
      </c>
      <c r="FT14" t="s">
        <v>110</v>
      </c>
      <c r="FU14" s="18">
        <v>45358</v>
      </c>
      <c r="FV14" s="19">
        <v>0.67708333333333337</v>
      </c>
      <c r="FW14">
        <v>3.92</v>
      </c>
      <c r="FX14">
        <v>3.92</v>
      </c>
      <c r="FY14">
        <v>3.617</v>
      </c>
      <c r="GA14" t="s">
        <v>112</v>
      </c>
      <c r="GB14" s="18">
        <v>45324</v>
      </c>
      <c r="GC14" s="19">
        <v>0.27083333333333331</v>
      </c>
      <c r="GD14">
        <v>2.4845000000000002</v>
      </c>
      <c r="GE14">
        <v>2.48</v>
      </c>
      <c r="GF14">
        <v>2.1989999999999998</v>
      </c>
    </row>
    <row r="15" spans="1:188" x14ac:dyDescent="0.3">
      <c r="A15" t="s">
        <v>112</v>
      </c>
      <c r="B15">
        <v>45232</v>
      </c>
      <c r="C15" s="19">
        <v>0.6875</v>
      </c>
      <c r="D15">
        <v>1.46</v>
      </c>
      <c r="E15">
        <v>1.46</v>
      </c>
      <c r="F15">
        <v>1.395</v>
      </c>
      <c r="H15" t="s">
        <v>113</v>
      </c>
      <c r="I15" s="18">
        <v>45225</v>
      </c>
      <c r="J15" s="19">
        <v>0.66736111111111107</v>
      </c>
      <c r="K15">
        <v>0.94</v>
      </c>
      <c r="L15">
        <v>0.8266</v>
      </c>
      <c r="M15">
        <v>0.57399999999999995</v>
      </c>
      <c r="O15" t="s">
        <v>113</v>
      </c>
      <c r="P15" s="18">
        <v>45223</v>
      </c>
      <c r="Q15" s="19">
        <v>0.66736111111111107</v>
      </c>
      <c r="R15">
        <v>1.55</v>
      </c>
      <c r="S15">
        <v>1.55</v>
      </c>
      <c r="T15">
        <v>1.444</v>
      </c>
      <c r="V15" t="s">
        <v>113</v>
      </c>
      <c r="W15" s="18">
        <v>45224</v>
      </c>
      <c r="X15" s="19">
        <v>0.67777777777777781</v>
      </c>
      <c r="Y15">
        <v>4.3899999999999997</v>
      </c>
      <c r="Z15">
        <v>4.3899999999999997</v>
      </c>
      <c r="AA15">
        <v>3.5739999999999998</v>
      </c>
      <c r="AC15" t="s">
        <v>111</v>
      </c>
      <c r="AD15" s="18">
        <v>45223</v>
      </c>
      <c r="AE15" s="19">
        <v>0.6694444444444444</v>
      </c>
      <c r="AF15">
        <v>2.9752999999999998</v>
      </c>
      <c r="AG15">
        <v>2.99</v>
      </c>
      <c r="AH15">
        <v>2.6539999999999999</v>
      </c>
      <c r="AJ15" t="s">
        <v>112</v>
      </c>
      <c r="AK15" s="18">
        <v>45314</v>
      </c>
      <c r="AL15" s="19">
        <v>0.66666666666666663</v>
      </c>
      <c r="AM15">
        <v>0.21099999999999999</v>
      </c>
      <c r="AN15">
        <v>0.21099999999999999</v>
      </c>
      <c r="AO15">
        <v>0.219</v>
      </c>
      <c r="AQ15" t="s">
        <v>109</v>
      </c>
      <c r="AR15" s="18">
        <v>45251</v>
      </c>
      <c r="AS15" s="19">
        <v>0.68055555555555558</v>
      </c>
      <c r="AT15">
        <v>0.37690000000000001</v>
      </c>
      <c r="AU15">
        <v>0.40200000000000002</v>
      </c>
      <c r="AV15">
        <v>0.33600000000000002</v>
      </c>
      <c r="AX15" t="s">
        <v>113</v>
      </c>
      <c r="AY15" s="18">
        <v>45232</v>
      </c>
      <c r="AZ15" s="19">
        <v>0.29166666666666669</v>
      </c>
      <c r="BA15">
        <v>3.0200000000000001E-2</v>
      </c>
      <c r="BB15">
        <v>7.0000000000000007E-2</v>
      </c>
      <c r="BC15">
        <v>5.7000000000000002E-2</v>
      </c>
      <c r="BE15" t="s">
        <v>113</v>
      </c>
      <c r="BF15" s="18">
        <v>45217</v>
      </c>
      <c r="BG15" s="19">
        <v>0.66736111111111107</v>
      </c>
      <c r="BH15">
        <v>0.53</v>
      </c>
      <c r="BI15">
        <v>0.66</v>
      </c>
      <c r="BJ15">
        <v>0.74199999999999999</v>
      </c>
      <c r="BL15" t="s">
        <v>113</v>
      </c>
      <c r="BM15" s="18">
        <v>45218</v>
      </c>
      <c r="BN15" s="19">
        <v>0.56388888888888888</v>
      </c>
      <c r="BO15">
        <v>40.5319</v>
      </c>
      <c r="BP15">
        <v>40.700000000000003</v>
      </c>
      <c r="BQ15">
        <v>36.985999999999997</v>
      </c>
      <c r="BS15" t="s">
        <v>112</v>
      </c>
      <c r="BT15" s="18">
        <v>45267</v>
      </c>
      <c r="BU15" s="19">
        <v>0.67708333333333337</v>
      </c>
      <c r="BV15">
        <v>0.84589999999999999</v>
      </c>
      <c r="BW15">
        <v>1.1060000000000001</v>
      </c>
      <c r="BX15">
        <v>1.093</v>
      </c>
      <c r="BZ15" t="s">
        <v>113</v>
      </c>
      <c r="CA15" s="18">
        <v>45230</v>
      </c>
      <c r="CB15" s="19">
        <v>0.67708333333333337</v>
      </c>
      <c r="CC15">
        <v>0.1938</v>
      </c>
      <c r="CD15">
        <v>0.7</v>
      </c>
      <c r="CE15">
        <v>0.67600000000000005</v>
      </c>
      <c r="CG15" t="s">
        <v>112</v>
      </c>
      <c r="CH15" s="18">
        <v>45196</v>
      </c>
      <c r="CI15" s="19">
        <v>0.66736111111111107</v>
      </c>
      <c r="CJ15">
        <v>-1.1922999999999999</v>
      </c>
      <c r="CK15">
        <v>-1.07</v>
      </c>
      <c r="CL15">
        <v>-1.1739999999999999</v>
      </c>
      <c r="CN15" t="s">
        <v>113</v>
      </c>
      <c r="CO15" s="18">
        <v>45231</v>
      </c>
      <c r="CP15" s="19">
        <v>0.66736111111111107</v>
      </c>
      <c r="CQ15">
        <v>-0.8226</v>
      </c>
      <c r="CR15">
        <v>-0.89800000000000002</v>
      </c>
      <c r="CS15">
        <v>6.9000000000000006E-2</v>
      </c>
      <c r="CU15" t="s">
        <v>113</v>
      </c>
      <c r="CV15" s="18">
        <v>45232</v>
      </c>
      <c r="CW15" s="19">
        <v>0.67569444444444449</v>
      </c>
      <c r="CX15">
        <v>-0.15809999999999999</v>
      </c>
      <c r="CY15">
        <v>-0.01</v>
      </c>
      <c r="CZ15">
        <v>-0.57099999999999995</v>
      </c>
      <c r="DB15" t="s">
        <v>113</v>
      </c>
      <c r="DC15" s="18">
        <v>45237</v>
      </c>
      <c r="DD15" s="19">
        <v>0.67013888888888884</v>
      </c>
      <c r="DE15">
        <v>7.4000000000000003E-3</v>
      </c>
      <c r="DF15">
        <v>-0.09</v>
      </c>
      <c r="DG15">
        <v>-0.10100000000000001</v>
      </c>
      <c r="DI15" t="s">
        <v>113</v>
      </c>
      <c r="DJ15" s="18">
        <v>45232</v>
      </c>
      <c r="DK15" s="19">
        <v>0.29166666666666669</v>
      </c>
      <c r="DL15">
        <v>0.15709999999999999</v>
      </c>
      <c r="DM15">
        <v>0.24</v>
      </c>
      <c r="DN15">
        <v>0.14599999999999999</v>
      </c>
      <c r="DP15" t="s">
        <v>111</v>
      </c>
      <c r="DQ15" s="18">
        <v>45231</v>
      </c>
      <c r="DR15" s="19">
        <v>0.67569444444444449</v>
      </c>
      <c r="DS15">
        <v>0.27500000000000002</v>
      </c>
      <c r="DT15">
        <v>0.34300000000000003</v>
      </c>
      <c r="DU15">
        <v>0.32200000000000001</v>
      </c>
      <c r="DW15" t="s">
        <v>110</v>
      </c>
      <c r="DX15" s="18">
        <v>45271</v>
      </c>
      <c r="DY15" s="19">
        <v>0.67013888888888884</v>
      </c>
      <c r="DZ15">
        <v>0.9204</v>
      </c>
      <c r="EA15">
        <v>1.34</v>
      </c>
      <c r="EB15">
        <v>1.325</v>
      </c>
      <c r="ED15" t="s">
        <v>109</v>
      </c>
      <c r="EE15" s="18">
        <v>45259</v>
      </c>
      <c r="EF15" s="19">
        <v>0.66805555555555551</v>
      </c>
      <c r="EG15">
        <v>1.3469</v>
      </c>
      <c r="EH15">
        <v>2.11</v>
      </c>
      <c r="EI15">
        <v>2.0619999999999998</v>
      </c>
      <c r="EK15" t="s">
        <v>112</v>
      </c>
      <c r="EL15" s="18">
        <v>45273</v>
      </c>
      <c r="EM15" s="19">
        <v>0.67013888888888884</v>
      </c>
      <c r="EN15">
        <v>3.3536000000000001</v>
      </c>
      <c r="EO15">
        <v>4.2699999999999996</v>
      </c>
      <c r="EP15">
        <v>4.1360000000000001</v>
      </c>
      <c r="ER15" t="s">
        <v>113</v>
      </c>
      <c r="ES15" s="18">
        <v>45224</v>
      </c>
      <c r="ET15" s="19">
        <v>0.67361111111111116</v>
      </c>
      <c r="EU15">
        <v>0.24310000000000001</v>
      </c>
      <c r="EV15">
        <v>0.58399999999999996</v>
      </c>
      <c r="EW15">
        <v>0.51100000000000001</v>
      </c>
      <c r="EY15" t="s">
        <v>113</v>
      </c>
      <c r="EZ15" s="18">
        <v>45232</v>
      </c>
      <c r="FA15" s="19">
        <v>0.27083333333333331</v>
      </c>
      <c r="FB15">
        <v>2.6063000000000001</v>
      </c>
      <c r="FC15">
        <v>0.1</v>
      </c>
      <c r="FD15">
        <v>-0.16200000000000001</v>
      </c>
      <c r="FF15" t="s">
        <v>112</v>
      </c>
      <c r="FG15" s="18">
        <v>45303</v>
      </c>
      <c r="FH15" s="19">
        <v>0.24652777777777779</v>
      </c>
      <c r="FI15">
        <v>5.83</v>
      </c>
      <c r="FJ15">
        <v>6.16</v>
      </c>
      <c r="FK15">
        <v>5.97</v>
      </c>
      <c r="FM15" t="s">
        <v>107</v>
      </c>
      <c r="FN15" s="18">
        <v>45758</v>
      </c>
      <c r="FO15" s="19">
        <v>0.28194444444444444</v>
      </c>
      <c r="FP15">
        <v>5.1093999999999999</v>
      </c>
      <c r="FQ15">
        <v>5.07</v>
      </c>
      <c r="FR15">
        <v>4.6130000000000004</v>
      </c>
      <c r="FT15" t="s">
        <v>111</v>
      </c>
      <c r="FU15" s="18">
        <v>45274</v>
      </c>
      <c r="FV15" s="19">
        <v>0.67708333333333337</v>
      </c>
      <c r="FW15">
        <v>3.58</v>
      </c>
      <c r="FX15">
        <v>3.58</v>
      </c>
      <c r="FY15">
        <v>3.4180000000000001</v>
      </c>
      <c r="GA15" t="s">
        <v>113</v>
      </c>
      <c r="GB15" s="18">
        <v>45226</v>
      </c>
      <c r="GC15" s="19">
        <v>0.27083333333333331</v>
      </c>
      <c r="GD15">
        <v>2.2616999999999998</v>
      </c>
      <c r="GE15">
        <v>2.27</v>
      </c>
      <c r="GF15">
        <v>2.36</v>
      </c>
    </row>
    <row r="16" spans="1:188" x14ac:dyDescent="0.3">
      <c r="A16" t="s">
        <v>113</v>
      </c>
      <c r="B16">
        <v>45141</v>
      </c>
      <c r="C16" s="19">
        <v>0.6875</v>
      </c>
      <c r="D16">
        <v>1.26</v>
      </c>
      <c r="E16">
        <v>1.26</v>
      </c>
      <c r="F16">
        <v>1.2190000000000001</v>
      </c>
      <c r="H16" t="s">
        <v>114</v>
      </c>
      <c r="I16" s="18">
        <v>45141</v>
      </c>
      <c r="J16" s="19">
        <v>0.66736111111111107</v>
      </c>
      <c r="K16">
        <v>0.65</v>
      </c>
      <c r="L16">
        <v>0.63090000000000002</v>
      </c>
      <c r="M16">
        <v>0.34</v>
      </c>
      <c r="O16" t="s">
        <v>114</v>
      </c>
      <c r="P16" s="18">
        <v>45132</v>
      </c>
      <c r="Q16" s="19">
        <v>0.66736111111111107</v>
      </c>
      <c r="R16">
        <v>1.44</v>
      </c>
      <c r="S16">
        <v>1.44</v>
      </c>
      <c r="T16">
        <v>1.3240000000000001</v>
      </c>
      <c r="V16" t="s">
        <v>114</v>
      </c>
      <c r="W16" s="18">
        <v>45133</v>
      </c>
      <c r="X16" s="19">
        <v>0.67013888888888884</v>
      </c>
      <c r="Y16">
        <v>2.98</v>
      </c>
      <c r="Z16">
        <v>2.98</v>
      </c>
      <c r="AA16">
        <v>2.887</v>
      </c>
      <c r="AC16" t="s">
        <v>112</v>
      </c>
      <c r="AD16" s="18">
        <v>45132</v>
      </c>
      <c r="AE16" s="19">
        <v>0.66666666666666663</v>
      </c>
      <c r="AF16">
        <v>2.6734</v>
      </c>
      <c r="AG16">
        <v>2.69</v>
      </c>
      <c r="AH16">
        <v>2.5670000000000002</v>
      </c>
      <c r="AJ16" t="s">
        <v>113</v>
      </c>
      <c r="AK16" s="18">
        <v>45217</v>
      </c>
      <c r="AL16" s="19">
        <v>0.66805555555555551</v>
      </c>
      <c r="AM16">
        <v>0.373</v>
      </c>
      <c r="AN16">
        <v>0.373</v>
      </c>
      <c r="AO16">
        <v>0.34799999999999998</v>
      </c>
      <c r="AQ16" t="s">
        <v>110</v>
      </c>
      <c r="AR16" s="18">
        <v>45161</v>
      </c>
      <c r="AS16" s="19">
        <v>0.68055555555555558</v>
      </c>
      <c r="AT16">
        <v>0.24979999999999999</v>
      </c>
      <c r="AU16">
        <v>0.27</v>
      </c>
      <c r="AV16">
        <v>0.20499999999999999</v>
      </c>
      <c r="AX16" t="s">
        <v>114</v>
      </c>
      <c r="AY16" s="18">
        <v>45145</v>
      </c>
      <c r="AZ16" s="19">
        <v>0.67013888888888884</v>
      </c>
      <c r="BA16">
        <v>1.09E-2</v>
      </c>
      <c r="BB16">
        <v>0.05</v>
      </c>
      <c r="BC16">
        <v>0.05</v>
      </c>
      <c r="BE16" t="s">
        <v>114</v>
      </c>
      <c r="BF16" s="18">
        <v>45126</v>
      </c>
      <c r="BG16" s="19">
        <v>0.67013888888888884</v>
      </c>
      <c r="BH16">
        <v>0.78</v>
      </c>
      <c r="BI16">
        <v>0.91</v>
      </c>
      <c r="BJ16">
        <v>0.80900000000000005</v>
      </c>
      <c r="BL16" t="s">
        <v>114</v>
      </c>
      <c r="BM16" s="18">
        <v>45127</v>
      </c>
      <c r="BN16" s="19">
        <v>0.5625</v>
      </c>
      <c r="BO16">
        <v>34.821899999999999</v>
      </c>
      <c r="BP16">
        <v>35.049999999999997</v>
      </c>
      <c r="BQ16">
        <v>33.466000000000001</v>
      </c>
      <c r="BS16" t="s">
        <v>113</v>
      </c>
      <c r="BT16" s="18">
        <v>45169</v>
      </c>
      <c r="BU16" s="19">
        <v>0.67708333333333337</v>
      </c>
      <c r="BV16">
        <v>0.82089999999999996</v>
      </c>
      <c r="BW16">
        <v>1.054</v>
      </c>
      <c r="BX16">
        <v>1.0429999999999999</v>
      </c>
      <c r="BZ16" t="s">
        <v>114</v>
      </c>
      <c r="CA16" s="18">
        <v>45139</v>
      </c>
      <c r="CB16" s="19">
        <v>0.67708333333333337</v>
      </c>
      <c r="CC16">
        <v>3.9199999999999999E-2</v>
      </c>
      <c r="CD16">
        <v>0.57999999999999996</v>
      </c>
      <c r="CE16">
        <v>0.57799999999999996</v>
      </c>
      <c r="CG16" t="s">
        <v>113</v>
      </c>
      <c r="CH16" s="18">
        <v>45105</v>
      </c>
      <c r="CI16" s="19">
        <v>0.6694444444444444</v>
      </c>
      <c r="CJ16">
        <v>-1.5616000000000001</v>
      </c>
      <c r="CK16">
        <v>-1.43</v>
      </c>
      <c r="CL16">
        <v>-1.42</v>
      </c>
      <c r="CN16" t="s">
        <v>114</v>
      </c>
      <c r="CO16" s="18">
        <v>45139</v>
      </c>
      <c r="CP16" s="19">
        <v>0.66736111111111107</v>
      </c>
      <c r="CQ16">
        <v>0.27050000000000002</v>
      </c>
      <c r="CR16">
        <v>0.23499999999999999</v>
      </c>
      <c r="CS16">
        <v>4.5999999999999999E-2</v>
      </c>
      <c r="CU16" t="s">
        <v>114</v>
      </c>
      <c r="CV16" s="18">
        <v>45141</v>
      </c>
      <c r="CW16" s="19">
        <v>0.67013888888888884</v>
      </c>
      <c r="CX16">
        <v>-0.13830000000000001</v>
      </c>
      <c r="CY16">
        <v>-0.42</v>
      </c>
      <c r="CZ16">
        <v>-0.76400000000000001</v>
      </c>
      <c r="DB16" t="s">
        <v>114</v>
      </c>
      <c r="DC16" s="18">
        <v>45140</v>
      </c>
      <c r="DD16" s="19">
        <v>0.66874999999999996</v>
      </c>
      <c r="DE16">
        <v>0.03</v>
      </c>
      <c r="DF16">
        <v>0.03</v>
      </c>
      <c r="DG16">
        <v>-1.7999999999999999E-2</v>
      </c>
      <c r="DI16" t="s">
        <v>114</v>
      </c>
      <c r="DJ16" s="18">
        <v>45140</v>
      </c>
      <c r="DK16" s="19">
        <v>0.67361111111111116</v>
      </c>
      <c r="DL16">
        <v>-8.8800000000000004E-2</v>
      </c>
      <c r="DM16">
        <v>0.14000000000000001</v>
      </c>
      <c r="DN16">
        <v>5.0999999999999997E-2</v>
      </c>
      <c r="DP16" t="s">
        <v>112</v>
      </c>
      <c r="DQ16" s="18">
        <v>45146</v>
      </c>
      <c r="DR16" s="19">
        <v>0.67013888888888884</v>
      </c>
      <c r="DS16">
        <v>0.34300000000000003</v>
      </c>
      <c r="DT16">
        <v>0.35099999999999998</v>
      </c>
      <c r="DU16">
        <v>0.28399999999999997</v>
      </c>
      <c r="DW16" t="s">
        <v>111</v>
      </c>
      <c r="DX16" s="18">
        <v>45180</v>
      </c>
      <c r="DY16" s="19">
        <v>0.67013888888888884</v>
      </c>
      <c r="DZ16">
        <v>0.8881</v>
      </c>
      <c r="EA16">
        <v>1.19</v>
      </c>
      <c r="EB16">
        <v>1.1519999999999999</v>
      </c>
      <c r="ED16" t="s">
        <v>110</v>
      </c>
      <c r="EE16" s="18">
        <v>45168</v>
      </c>
      <c r="EF16" s="19">
        <v>0.67013888888888884</v>
      </c>
      <c r="EG16">
        <v>1.3938999999999999</v>
      </c>
      <c r="EH16">
        <v>2.12</v>
      </c>
      <c r="EI16">
        <v>1.889</v>
      </c>
      <c r="EK16" t="s">
        <v>113</v>
      </c>
      <c r="EL16" s="18">
        <v>45183</v>
      </c>
      <c r="EM16" s="19">
        <v>0.67013888888888884</v>
      </c>
      <c r="EN16">
        <v>3.0886999999999998</v>
      </c>
      <c r="EO16">
        <v>4.09</v>
      </c>
      <c r="EP16">
        <v>3.9780000000000002</v>
      </c>
      <c r="ER16" t="s">
        <v>114</v>
      </c>
      <c r="ES16" s="18">
        <v>45133</v>
      </c>
      <c r="ET16" s="19">
        <v>0.67361111111111116</v>
      </c>
      <c r="EU16">
        <v>0.1361</v>
      </c>
      <c r="EV16">
        <v>0.47399999999999998</v>
      </c>
      <c r="EW16">
        <v>0.41099999999999998</v>
      </c>
      <c r="EY16" t="s">
        <v>114</v>
      </c>
      <c r="EZ16" s="18">
        <v>45146</v>
      </c>
      <c r="FA16" s="19">
        <v>0.28125</v>
      </c>
      <c r="FB16">
        <v>2.0817000000000001</v>
      </c>
      <c r="FC16">
        <v>2.11</v>
      </c>
      <c r="FD16">
        <v>1.994</v>
      </c>
      <c r="FF16" t="s">
        <v>113</v>
      </c>
      <c r="FG16" s="18">
        <v>45212</v>
      </c>
      <c r="FH16" s="19">
        <v>0.24652777777777779</v>
      </c>
      <c r="FI16">
        <v>6.24</v>
      </c>
      <c r="FJ16">
        <v>6.56</v>
      </c>
      <c r="FK16">
        <v>6.3339999999999996</v>
      </c>
      <c r="FM16" t="s">
        <v>108</v>
      </c>
      <c r="FN16" s="18">
        <v>45672</v>
      </c>
      <c r="FO16" s="19">
        <v>0.28194444444444444</v>
      </c>
      <c r="FP16">
        <v>4.8848000000000003</v>
      </c>
      <c r="FQ16">
        <v>4.8099999999999996</v>
      </c>
      <c r="FR16">
        <v>4.0999999999999996</v>
      </c>
      <c r="FT16" t="s">
        <v>112</v>
      </c>
      <c r="FU16" s="18">
        <v>45195</v>
      </c>
      <c r="FV16" s="19">
        <v>0.67708333333333337</v>
      </c>
      <c r="FW16">
        <v>4.8600000000000003</v>
      </c>
      <c r="FX16">
        <v>4.8600000000000003</v>
      </c>
      <c r="FY16">
        <v>4.7699999999999996</v>
      </c>
      <c r="GA16" t="s">
        <v>114</v>
      </c>
      <c r="GB16" s="18">
        <v>45135</v>
      </c>
      <c r="GC16" s="19">
        <v>0.27083333333333331</v>
      </c>
      <c r="GD16">
        <v>1.9395</v>
      </c>
      <c r="GE16">
        <v>1.94</v>
      </c>
      <c r="GF16">
        <v>2.0009999999999999</v>
      </c>
    </row>
    <row r="17" spans="1:188" x14ac:dyDescent="0.3">
      <c r="A17" t="s">
        <v>114</v>
      </c>
      <c r="B17">
        <v>45050</v>
      </c>
      <c r="C17" s="19">
        <v>0.6875</v>
      </c>
      <c r="D17">
        <v>1.52</v>
      </c>
      <c r="E17">
        <v>1.52</v>
      </c>
      <c r="F17">
        <v>1.4330000000000001</v>
      </c>
      <c r="H17" t="s">
        <v>115</v>
      </c>
      <c r="I17" s="18">
        <v>45043</v>
      </c>
      <c r="J17" s="19">
        <v>0.66736111111111107</v>
      </c>
      <c r="K17">
        <v>0.31</v>
      </c>
      <c r="L17">
        <v>0.34470000000000001</v>
      </c>
      <c r="M17">
        <v>0.21</v>
      </c>
      <c r="O17" t="s">
        <v>115</v>
      </c>
      <c r="P17" s="18">
        <v>45041</v>
      </c>
      <c r="Q17" s="19">
        <v>0.66805555555555551</v>
      </c>
      <c r="R17">
        <v>1.17</v>
      </c>
      <c r="S17">
        <v>1.17</v>
      </c>
      <c r="T17">
        <v>1.0920000000000001</v>
      </c>
      <c r="V17" t="s">
        <v>115</v>
      </c>
      <c r="W17" s="18">
        <v>45042</v>
      </c>
      <c r="X17" s="19">
        <v>0.67361111111111116</v>
      </c>
      <c r="Y17">
        <v>2.2000000000000002</v>
      </c>
      <c r="Z17">
        <v>2.2000000000000002</v>
      </c>
      <c r="AA17">
        <v>2.0059999999999998</v>
      </c>
      <c r="AC17" t="s">
        <v>113</v>
      </c>
      <c r="AD17" s="18">
        <v>45041</v>
      </c>
      <c r="AE17" s="19">
        <v>0.66874999999999996</v>
      </c>
      <c r="AF17">
        <v>2.4388999999999998</v>
      </c>
      <c r="AG17">
        <v>2.4500000000000002</v>
      </c>
      <c r="AH17">
        <v>2.2349999999999999</v>
      </c>
      <c r="AJ17" t="s">
        <v>114</v>
      </c>
      <c r="AK17" s="18">
        <v>45126</v>
      </c>
      <c r="AL17" s="19">
        <v>0.6694444444444444</v>
      </c>
      <c r="AM17">
        <v>0.32900000000000001</v>
      </c>
      <c r="AN17">
        <v>0.32900000000000001</v>
      </c>
      <c r="AO17">
        <v>0.28599999999999998</v>
      </c>
      <c r="AQ17" t="s">
        <v>111</v>
      </c>
      <c r="AR17" s="18">
        <v>45070</v>
      </c>
      <c r="AS17" s="19">
        <v>0.68055555555555558</v>
      </c>
      <c r="AT17">
        <v>8.7400000000000005E-2</v>
      </c>
      <c r="AU17">
        <v>0.109</v>
      </c>
      <c r="AV17">
        <v>9.4E-2</v>
      </c>
      <c r="AX17" t="s">
        <v>115</v>
      </c>
      <c r="AY17" s="18">
        <v>45054</v>
      </c>
      <c r="AZ17" s="19">
        <v>0.67013888888888884</v>
      </c>
      <c r="BA17">
        <v>1.12E-2</v>
      </c>
      <c r="BB17">
        <v>0.05</v>
      </c>
      <c r="BC17">
        <v>3.7999999999999999E-2</v>
      </c>
      <c r="BE17" t="s">
        <v>115</v>
      </c>
      <c r="BF17" s="18">
        <v>45035</v>
      </c>
      <c r="BG17" s="19">
        <v>0.66874999999999996</v>
      </c>
      <c r="BH17">
        <v>0.73</v>
      </c>
      <c r="BI17">
        <v>0.85</v>
      </c>
      <c r="BJ17">
        <v>0.85499999999999998</v>
      </c>
      <c r="BL17" t="s">
        <v>115</v>
      </c>
      <c r="BM17" s="18">
        <v>45036</v>
      </c>
      <c r="BN17" s="19">
        <v>0.56736111111111109</v>
      </c>
      <c r="BO17">
        <v>40.1158</v>
      </c>
      <c r="BP17">
        <v>39.9</v>
      </c>
      <c r="BQ17">
        <v>37.542000000000002</v>
      </c>
      <c r="BS17" t="s">
        <v>114</v>
      </c>
      <c r="BT17" s="18">
        <v>45078</v>
      </c>
      <c r="BU17" s="19">
        <v>0.67708333333333337</v>
      </c>
      <c r="BV17">
        <v>0.83389999999999997</v>
      </c>
      <c r="BW17">
        <v>1.032</v>
      </c>
      <c r="BX17">
        <v>1.0149999999999999</v>
      </c>
      <c r="BZ17" t="s">
        <v>115</v>
      </c>
      <c r="CA17" s="18">
        <v>45048</v>
      </c>
      <c r="CB17" s="19">
        <v>0.67708333333333337</v>
      </c>
      <c r="CC17">
        <v>-3.1699999999999999E-2</v>
      </c>
      <c r="CD17">
        <v>0.6</v>
      </c>
      <c r="CE17">
        <v>0.59399999999999997</v>
      </c>
      <c r="CG17" t="s">
        <v>114</v>
      </c>
      <c r="CH17" s="18">
        <v>45013</v>
      </c>
      <c r="CI17" s="19">
        <v>0.66805555555555551</v>
      </c>
      <c r="CJ17">
        <v>-2.0095999999999998</v>
      </c>
      <c r="CK17">
        <v>-1.91</v>
      </c>
      <c r="CL17">
        <v>-0.63</v>
      </c>
      <c r="CN17" t="s">
        <v>115</v>
      </c>
      <c r="CO17" s="18">
        <v>45047</v>
      </c>
      <c r="CP17" s="19">
        <v>0.66736111111111107</v>
      </c>
      <c r="CQ17">
        <v>3.0828000000000002</v>
      </c>
      <c r="CR17">
        <v>3.0590000000000002</v>
      </c>
      <c r="CS17">
        <v>1.7000000000000001E-2</v>
      </c>
      <c r="CU17" t="s">
        <v>115</v>
      </c>
      <c r="CV17" s="18">
        <v>45050</v>
      </c>
      <c r="CW17" s="19">
        <v>0.67222222222222228</v>
      </c>
      <c r="CX17">
        <v>0.53500000000000003</v>
      </c>
      <c r="CY17">
        <v>-0.34</v>
      </c>
      <c r="CZ17">
        <v>-1.446</v>
      </c>
      <c r="DB17" t="s">
        <v>115</v>
      </c>
      <c r="DC17" s="18">
        <v>45056</v>
      </c>
      <c r="DD17" s="19">
        <v>0.67013888888888884</v>
      </c>
      <c r="DE17">
        <v>-0.56999999999999995</v>
      </c>
      <c r="DF17">
        <v>-0.56999999999999995</v>
      </c>
      <c r="DG17">
        <v>-0.56100000000000005</v>
      </c>
      <c r="DI17" t="s">
        <v>115</v>
      </c>
      <c r="DJ17" s="18">
        <v>45050</v>
      </c>
      <c r="DK17" s="19">
        <v>0.29236111111111113</v>
      </c>
      <c r="DL17">
        <v>-0.12590000000000001</v>
      </c>
      <c r="DM17">
        <v>0.01</v>
      </c>
      <c r="DN17">
        <v>-3.7999999999999999E-2</v>
      </c>
      <c r="DP17" t="s">
        <v>113</v>
      </c>
      <c r="DQ17" s="18">
        <v>45048</v>
      </c>
      <c r="DR17" s="19">
        <v>0.67013888888888884</v>
      </c>
      <c r="DS17">
        <v>0.15129999999999999</v>
      </c>
      <c r="DT17">
        <v>0.16300000000000001</v>
      </c>
      <c r="DU17">
        <v>0.17</v>
      </c>
      <c r="DW17" t="s">
        <v>112</v>
      </c>
      <c r="DX17" s="18">
        <v>45089</v>
      </c>
      <c r="DY17" s="19">
        <v>0.6694444444444444</v>
      </c>
      <c r="DZ17">
        <v>1.2331000000000001</v>
      </c>
      <c r="EA17">
        <v>2.0148000000000001</v>
      </c>
      <c r="EB17">
        <v>1.58</v>
      </c>
      <c r="ED17" t="s">
        <v>111</v>
      </c>
      <c r="EE17" s="18">
        <v>45077</v>
      </c>
      <c r="EF17" s="19">
        <v>0.67013888888888884</v>
      </c>
      <c r="EG17">
        <v>0.88280000000000003</v>
      </c>
      <c r="EH17">
        <v>1.69</v>
      </c>
      <c r="EI17">
        <v>1.597</v>
      </c>
      <c r="EK17" t="s">
        <v>114</v>
      </c>
      <c r="EL17" s="18">
        <v>45092</v>
      </c>
      <c r="EM17" s="19">
        <v>0.67013888888888884</v>
      </c>
      <c r="EN17">
        <v>2.8689</v>
      </c>
      <c r="EO17">
        <v>3.91</v>
      </c>
      <c r="EP17">
        <v>3.7959999999999998</v>
      </c>
      <c r="ER17" t="s">
        <v>115</v>
      </c>
      <c r="ES17" s="18">
        <v>45042</v>
      </c>
      <c r="ET17" s="19">
        <v>0.67361111111111116</v>
      </c>
      <c r="EU17">
        <v>0.15160000000000001</v>
      </c>
      <c r="EV17">
        <v>0.47399999999999998</v>
      </c>
      <c r="EW17">
        <v>0.41</v>
      </c>
      <c r="EY17" t="s">
        <v>115</v>
      </c>
      <c r="EZ17" s="18">
        <v>45043</v>
      </c>
      <c r="FA17" s="19">
        <v>0.28125</v>
      </c>
      <c r="FB17">
        <v>1.5818000000000001</v>
      </c>
      <c r="FC17">
        <v>1.62</v>
      </c>
      <c r="FD17">
        <v>1.7090000000000001</v>
      </c>
      <c r="FF17" t="s">
        <v>114</v>
      </c>
      <c r="FG17" s="18">
        <v>45121</v>
      </c>
      <c r="FH17" s="19">
        <v>0.24652777777777779</v>
      </c>
      <c r="FI17">
        <v>5.82</v>
      </c>
      <c r="FJ17">
        <v>6.14</v>
      </c>
      <c r="FK17">
        <v>5.952</v>
      </c>
      <c r="FM17" t="s">
        <v>109</v>
      </c>
      <c r="FN17" s="18">
        <v>45576</v>
      </c>
      <c r="FO17" s="19">
        <v>0.28194444444444444</v>
      </c>
      <c r="FP17">
        <v>4.4714</v>
      </c>
      <c r="FQ17">
        <v>4.37</v>
      </c>
      <c r="FR17">
        <v>4.0090000000000003</v>
      </c>
      <c r="FT17" t="s">
        <v>113</v>
      </c>
      <c r="FU17" s="18">
        <v>45071</v>
      </c>
      <c r="FV17" s="19">
        <v>0.67708333333333337</v>
      </c>
      <c r="FW17">
        <v>3.43</v>
      </c>
      <c r="FX17">
        <v>3.43</v>
      </c>
      <c r="FY17">
        <v>3.3039999999999998</v>
      </c>
      <c r="GA17" t="s">
        <v>115</v>
      </c>
      <c r="GB17" s="18">
        <v>45044</v>
      </c>
      <c r="GC17" s="19">
        <v>0.27083333333333331</v>
      </c>
      <c r="GD17">
        <v>2.8323</v>
      </c>
      <c r="GE17">
        <v>2.83</v>
      </c>
      <c r="GF17">
        <v>2.6339999999999999</v>
      </c>
    </row>
    <row r="18" spans="1:188" x14ac:dyDescent="0.3">
      <c r="A18" t="s">
        <v>115</v>
      </c>
      <c r="B18">
        <v>44959</v>
      </c>
      <c r="C18" s="19">
        <v>0.6875</v>
      </c>
      <c r="D18">
        <v>1.88</v>
      </c>
      <c r="E18">
        <v>1.88</v>
      </c>
      <c r="F18">
        <v>1.9410000000000001</v>
      </c>
      <c r="H18" t="s">
        <v>116</v>
      </c>
      <c r="I18" s="18">
        <v>44959</v>
      </c>
      <c r="J18" s="19">
        <v>0.66736111111111107</v>
      </c>
      <c r="K18">
        <v>0.03</v>
      </c>
      <c r="L18">
        <v>0.20319999999999999</v>
      </c>
      <c r="M18">
        <v>0.19</v>
      </c>
      <c r="O18" t="s">
        <v>116</v>
      </c>
      <c r="P18" s="18">
        <v>44959</v>
      </c>
      <c r="Q18" s="19">
        <v>0.66805555555555551</v>
      </c>
      <c r="R18">
        <v>1.05</v>
      </c>
      <c r="S18">
        <v>1.05</v>
      </c>
      <c r="T18">
        <v>1.206</v>
      </c>
      <c r="V18" t="s">
        <v>116</v>
      </c>
      <c r="W18" s="18">
        <v>44958</v>
      </c>
      <c r="X18" s="19">
        <v>0.67013888888888884</v>
      </c>
      <c r="Y18">
        <v>1.76</v>
      </c>
      <c r="Z18">
        <v>1.76</v>
      </c>
      <c r="AA18">
        <v>2.2519999999999998</v>
      </c>
      <c r="AC18" t="s">
        <v>114</v>
      </c>
      <c r="AD18" s="18">
        <v>44950</v>
      </c>
      <c r="AE18" s="19">
        <v>0.66736111111111107</v>
      </c>
      <c r="AF18">
        <v>2.3287</v>
      </c>
      <c r="AG18">
        <v>2.3199999999999998</v>
      </c>
      <c r="AH18">
        <v>2.2949999999999999</v>
      </c>
      <c r="AJ18" t="s">
        <v>115</v>
      </c>
      <c r="AK18" s="18">
        <v>45034</v>
      </c>
      <c r="AL18" s="19">
        <v>0.66666666666666663</v>
      </c>
      <c r="AM18">
        <v>0.28799999999999998</v>
      </c>
      <c r="AN18">
        <v>0.28799999999999998</v>
      </c>
      <c r="AO18">
        <v>0.28699999999999998</v>
      </c>
      <c r="AQ18" t="s">
        <v>112</v>
      </c>
      <c r="AR18" s="18">
        <v>44979</v>
      </c>
      <c r="AS18" s="19">
        <v>0.70138888888888884</v>
      </c>
      <c r="AT18">
        <v>6.4500000000000002E-2</v>
      </c>
      <c r="AU18">
        <v>8.7999999999999995E-2</v>
      </c>
      <c r="AV18">
        <v>8.1000000000000003E-2</v>
      </c>
      <c r="AX18" t="s">
        <v>116</v>
      </c>
      <c r="AY18" s="18">
        <v>44970</v>
      </c>
      <c r="AZ18" s="19">
        <v>0.67013888888888884</v>
      </c>
      <c r="BA18">
        <v>-8.0000000000000004E-4</v>
      </c>
      <c r="BB18">
        <v>8.9499999999999996E-2</v>
      </c>
      <c r="BC18">
        <v>2.8000000000000001E-2</v>
      </c>
      <c r="BE18" t="s">
        <v>116</v>
      </c>
      <c r="BF18" s="18">
        <v>44951</v>
      </c>
      <c r="BG18" s="19">
        <v>0.67500000000000004</v>
      </c>
      <c r="BH18">
        <v>1.0777000000000001</v>
      </c>
      <c r="BI18">
        <v>1.19</v>
      </c>
      <c r="BJ18">
        <v>1.1220000000000001</v>
      </c>
      <c r="BL18" t="s">
        <v>254</v>
      </c>
      <c r="BM18" s="18">
        <v>44938</v>
      </c>
      <c r="BN18" s="19">
        <v>0.5805555555555556</v>
      </c>
      <c r="BO18">
        <v>196.30889999999999</v>
      </c>
      <c r="BP18">
        <v>196</v>
      </c>
      <c r="BQ18">
        <v>193.38900000000001</v>
      </c>
      <c r="BS18" t="s">
        <v>115</v>
      </c>
      <c r="BT18" s="18">
        <v>44987</v>
      </c>
      <c r="BU18" s="19">
        <v>0.67708333333333337</v>
      </c>
      <c r="BV18">
        <v>0.88119999999999998</v>
      </c>
      <c r="BW18">
        <v>1.0329999999999999</v>
      </c>
      <c r="BX18">
        <v>1.014</v>
      </c>
      <c r="BZ18" t="s">
        <v>116</v>
      </c>
      <c r="CA18" s="18">
        <v>44957</v>
      </c>
      <c r="CB18" s="19">
        <v>0.67708333333333337</v>
      </c>
      <c r="CC18">
        <v>3.7199999999999997E-2</v>
      </c>
      <c r="CD18">
        <v>0.69</v>
      </c>
      <c r="CE18">
        <v>0.68100000000000005</v>
      </c>
      <c r="CG18" t="s">
        <v>115</v>
      </c>
      <c r="CH18" s="18">
        <v>44916</v>
      </c>
      <c r="CI18" s="19">
        <v>0.66805555555555551</v>
      </c>
      <c r="CJ18">
        <v>-0.13830000000000001</v>
      </c>
      <c r="CK18">
        <v>-0.04</v>
      </c>
      <c r="CL18">
        <v>-1.2999999999999999E-2</v>
      </c>
      <c r="CN18" t="s">
        <v>116</v>
      </c>
      <c r="CO18" s="18">
        <v>44959</v>
      </c>
      <c r="CP18" s="19">
        <v>0.66736111111111107</v>
      </c>
      <c r="CQ18">
        <v>-0.82179999999999997</v>
      </c>
      <c r="CR18">
        <v>-2.0510000000000002</v>
      </c>
      <c r="CS18">
        <v>0.10100000000000001</v>
      </c>
      <c r="CU18" t="s">
        <v>116</v>
      </c>
      <c r="CV18" s="18">
        <v>44978</v>
      </c>
      <c r="CW18" s="19">
        <v>0.6743055555555556</v>
      </c>
      <c r="CX18">
        <v>-1.9715</v>
      </c>
      <c r="CY18">
        <v>-2.46</v>
      </c>
      <c r="CZ18">
        <v>-2.1709999999999998</v>
      </c>
      <c r="DB18" t="s">
        <v>116</v>
      </c>
      <c r="DC18" s="18">
        <v>44965</v>
      </c>
      <c r="DD18" s="19">
        <v>0.67013888888888884</v>
      </c>
      <c r="DE18">
        <v>-0.18290000000000001</v>
      </c>
      <c r="DF18">
        <v>-0.19</v>
      </c>
      <c r="DG18">
        <v>-0.105</v>
      </c>
      <c r="DI18" t="s">
        <v>116</v>
      </c>
      <c r="DJ18" s="18">
        <v>44972</v>
      </c>
      <c r="DK18" s="19">
        <v>0.67361111111111116</v>
      </c>
      <c r="DL18">
        <v>-5.7000000000000002E-2</v>
      </c>
      <c r="DM18">
        <v>7.0000000000000007E-2</v>
      </c>
      <c r="DN18">
        <v>-2.1999999999999999E-2</v>
      </c>
      <c r="DP18" t="s">
        <v>114</v>
      </c>
      <c r="DQ18" s="18">
        <v>44957</v>
      </c>
      <c r="DR18" s="19">
        <v>0.68472222222222223</v>
      </c>
      <c r="DS18">
        <v>0.314</v>
      </c>
      <c r="DT18">
        <v>0.35099999999999998</v>
      </c>
      <c r="DU18">
        <v>0.28999999999999998</v>
      </c>
      <c r="DW18" t="s">
        <v>113</v>
      </c>
      <c r="DX18" s="18">
        <v>44994</v>
      </c>
      <c r="DY18" s="19">
        <v>0.67013888888888884</v>
      </c>
      <c r="DZ18">
        <v>0.71199999999999997</v>
      </c>
      <c r="EA18">
        <v>1.22</v>
      </c>
      <c r="EB18">
        <v>1.2</v>
      </c>
      <c r="ED18" t="s">
        <v>112</v>
      </c>
      <c r="EE18" s="18">
        <v>44986</v>
      </c>
      <c r="EF18" s="19">
        <v>0.67013888888888884</v>
      </c>
      <c r="EG18">
        <v>0.85829999999999995</v>
      </c>
      <c r="EH18">
        <v>1.68</v>
      </c>
      <c r="EI18">
        <v>1.363</v>
      </c>
      <c r="EK18" t="s">
        <v>115</v>
      </c>
      <c r="EL18" s="18">
        <v>45000</v>
      </c>
      <c r="EM18" s="19">
        <v>0.67013888888888884</v>
      </c>
      <c r="EN18">
        <v>2.7797999999999998</v>
      </c>
      <c r="EO18">
        <v>3.8</v>
      </c>
      <c r="EP18">
        <v>3.6749999999999998</v>
      </c>
      <c r="ER18" t="s">
        <v>116</v>
      </c>
      <c r="ES18" s="18">
        <v>44951</v>
      </c>
      <c r="ET18" s="19">
        <v>0.67361111111111116</v>
      </c>
      <c r="EU18">
        <v>0.15260000000000001</v>
      </c>
      <c r="EV18">
        <v>0.45600000000000002</v>
      </c>
      <c r="EW18">
        <v>0.40500000000000003</v>
      </c>
      <c r="EY18" t="s">
        <v>116</v>
      </c>
      <c r="EZ18" s="18">
        <v>44959</v>
      </c>
      <c r="FA18" s="19">
        <v>0.28125</v>
      </c>
      <c r="FB18">
        <v>2.5735999999999999</v>
      </c>
      <c r="FC18">
        <v>2.09</v>
      </c>
      <c r="FD18">
        <v>1.772</v>
      </c>
      <c r="FF18" t="s">
        <v>115</v>
      </c>
      <c r="FG18" s="18">
        <v>45030</v>
      </c>
      <c r="FH18" s="19">
        <v>0.24652777777777779</v>
      </c>
      <c r="FI18">
        <v>5.95</v>
      </c>
      <c r="FJ18">
        <v>6.26</v>
      </c>
      <c r="FK18">
        <v>6.0609999999999999</v>
      </c>
      <c r="FM18" t="s">
        <v>110</v>
      </c>
      <c r="FN18" s="18">
        <v>45485</v>
      </c>
      <c r="FO18" s="19">
        <v>0.28263888888888888</v>
      </c>
      <c r="FP18">
        <v>6.2302</v>
      </c>
      <c r="FQ18">
        <v>4.4000000000000004</v>
      </c>
      <c r="FR18">
        <v>4.2779999999999996</v>
      </c>
      <c r="FT18" t="s">
        <v>114</v>
      </c>
      <c r="FU18" s="18">
        <v>44987</v>
      </c>
      <c r="FV18" s="19">
        <v>0.67708333333333337</v>
      </c>
      <c r="FW18">
        <v>3.3</v>
      </c>
      <c r="FX18">
        <v>3.3</v>
      </c>
      <c r="FY18">
        <v>3.2050000000000001</v>
      </c>
      <c r="GA18" t="s">
        <v>116</v>
      </c>
      <c r="GB18" s="18">
        <v>44957</v>
      </c>
      <c r="GC18" s="19">
        <v>0.27083333333333331</v>
      </c>
      <c r="GD18">
        <v>3.3917000000000002</v>
      </c>
      <c r="GE18">
        <v>3.4</v>
      </c>
      <c r="GF18">
        <v>3.3039999999999998</v>
      </c>
    </row>
    <row r="19" spans="1:188" x14ac:dyDescent="0.3">
      <c r="A19" t="s">
        <v>116</v>
      </c>
      <c r="B19">
        <v>44861</v>
      </c>
      <c r="C19" s="19">
        <v>0.6875</v>
      </c>
      <c r="D19">
        <v>1.29</v>
      </c>
      <c r="E19">
        <v>1.29</v>
      </c>
      <c r="F19">
        <v>1.264</v>
      </c>
      <c r="H19" t="s">
        <v>117</v>
      </c>
      <c r="I19" s="18">
        <v>44861</v>
      </c>
      <c r="J19" s="19">
        <v>0.66736111111111107</v>
      </c>
      <c r="K19">
        <v>0.28000000000000003</v>
      </c>
      <c r="L19">
        <v>0.19389999999999999</v>
      </c>
      <c r="M19">
        <v>0.223</v>
      </c>
      <c r="O19" t="s">
        <v>117</v>
      </c>
      <c r="P19" s="18">
        <v>44859</v>
      </c>
      <c r="Q19" s="19">
        <v>0.66736111111111107</v>
      </c>
      <c r="R19">
        <v>1.06</v>
      </c>
      <c r="S19">
        <v>1.06</v>
      </c>
      <c r="T19">
        <v>1.2649999999999999</v>
      </c>
      <c r="V19" t="s">
        <v>117</v>
      </c>
      <c r="W19" s="18">
        <v>44860</v>
      </c>
      <c r="X19" s="19">
        <v>0.67013888888888884</v>
      </c>
      <c r="Y19">
        <v>1.64</v>
      </c>
      <c r="Z19">
        <v>1.64</v>
      </c>
      <c r="AA19">
        <v>1.885</v>
      </c>
      <c r="AC19" t="s">
        <v>115</v>
      </c>
      <c r="AD19" s="18">
        <v>44859</v>
      </c>
      <c r="AE19" s="19">
        <v>0.66874999999999996</v>
      </c>
      <c r="AF19">
        <v>2.3485999999999998</v>
      </c>
      <c r="AG19">
        <v>2.35</v>
      </c>
      <c r="AH19">
        <v>2.2970000000000002</v>
      </c>
      <c r="AJ19" t="s">
        <v>116</v>
      </c>
      <c r="AK19" s="18">
        <v>44945</v>
      </c>
      <c r="AL19" s="19">
        <v>0.66666666666666663</v>
      </c>
      <c r="AM19">
        <v>1.2E-2</v>
      </c>
      <c r="AN19">
        <v>1.2E-2</v>
      </c>
      <c r="AO19">
        <v>4.2000000000000003E-2</v>
      </c>
      <c r="AQ19" t="s">
        <v>113</v>
      </c>
      <c r="AR19" s="18">
        <v>44881</v>
      </c>
      <c r="AS19" s="19">
        <v>0.68055555555555558</v>
      </c>
      <c r="AT19">
        <v>3.1699999999999999E-2</v>
      </c>
      <c r="AU19">
        <v>5.8000000000000003E-2</v>
      </c>
      <c r="AV19">
        <v>7.0000000000000007E-2</v>
      </c>
      <c r="AX19" t="s">
        <v>117</v>
      </c>
      <c r="AY19" s="18">
        <v>44872</v>
      </c>
      <c r="AZ19" s="19">
        <v>0.29166666666666669</v>
      </c>
      <c r="BA19">
        <v>-3.7400000000000003E-2</v>
      </c>
      <c r="BB19">
        <v>0.01</v>
      </c>
      <c r="BC19">
        <v>0.02</v>
      </c>
      <c r="BE19" t="s">
        <v>117</v>
      </c>
      <c r="BF19" s="18">
        <v>44853</v>
      </c>
      <c r="BG19" s="19">
        <v>0.67152777777777772</v>
      </c>
      <c r="BH19">
        <v>0.95</v>
      </c>
      <c r="BI19">
        <v>1.05</v>
      </c>
      <c r="BJ19">
        <v>1.0049999999999999</v>
      </c>
      <c r="BL19" t="s">
        <v>117</v>
      </c>
      <c r="BM19" s="18">
        <v>44847</v>
      </c>
      <c r="BN19" s="19">
        <v>0.58333333333333337</v>
      </c>
      <c r="BO19">
        <v>53.426900000000003</v>
      </c>
      <c r="BP19">
        <v>54.15</v>
      </c>
      <c r="BQ19">
        <v>51.186999999999998</v>
      </c>
      <c r="BS19" t="s">
        <v>116</v>
      </c>
      <c r="BT19" s="18">
        <v>44903</v>
      </c>
      <c r="BU19" s="19">
        <v>0.67708333333333337</v>
      </c>
      <c r="BV19">
        <v>0.78839999999999999</v>
      </c>
      <c r="BW19">
        <v>1.0449999999999999</v>
      </c>
      <c r="BX19">
        <v>1.018</v>
      </c>
      <c r="BZ19" t="s">
        <v>117</v>
      </c>
      <c r="CA19" s="18">
        <v>44866</v>
      </c>
      <c r="CB19" s="19">
        <v>0.67708333333333337</v>
      </c>
      <c r="CC19">
        <v>6.4699999999999994E-2</v>
      </c>
      <c r="CD19">
        <v>0.67</v>
      </c>
      <c r="CE19">
        <v>0.68300000000000005</v>
      </c>
      <c r="CG19" t="s">
        <v>116</v>
      </c>
      <c r="CH19" s="18">
        <v>44833</v>
      </c>
      <c r="CI19" s="19">
        <v>0.66805555555555551</v>
      </c>
      <c r="CJ19">
        <v>1.3688</v>
      </c>
      <c r="CK19">
        <v>1.45</v>
      </c>
      <c r="CL19">
        <v>1.3660000000000001</v>
      </c>
      <c r="CN19" t="s">
        <v>117</v>
      </c>
      <c r="CO19" s="18">
        <v>44866</v>
      </c>
      <c r="CP19" s="19">
        <v>0.66736111111111107</v>
      </c>
      <c r="CQ19">
        <v>-0.2344</v>
      </c>
      <c r="CR19">
        <v>-9.6000000000000002E-2</v>
      </c>
      <c r="CS19">
        <v>6.6000000000000003E-2</v>
      </c>
      <c r="CU19" t="s">
        <v>117</v>
      </c>
      <c r="CV19" s="18">
        <v>44868</v>
      </c>
      <c r="CW19" s="19">
        <v>0.67222222222222228</v>
      </c>
      <c r="CX19">
        <v>-2.0592000000000001</v>
      </c>
      <c r="CY19">
        <v>-2.4300000000000002</v>
      </c>
      <c r="CZ19">
        <v>-2.3359999999999999</v>
      </c>
      <c r="DB19" t="s">
        <v>117</v>
      </c>
      <c r="DC19" s="18">
        <v>44867</v>
      </c>
      <c r="DD19" s="19">
        <v>0.67013888888888884</v>
      </c>
      <c r="DE19">
        <v>-7.7299999999999994E-2</v>
      </c>
      <c r="DF19">
        <v>-0.2</v>
      </c>
      <c r="DG19">
        <v>-0.28399999999999997</v>
      </c>
      <c r="DI19" t="s">
        <v>117</v>
      </c>
      <c r="DJ19" s="18">
        <v>44861</v>
      </c>
      <c r="DK19" s="19">
        <v>0.29166666666666669</v>
      </c>
      <c r="DL19">
        <v>-8.5999999999999993E-2</v>
      </c>
      <c r="DM19">
        <v>6.6799999999999998E-2</v>
      </c>
      <c r="DN19">
        <v>-6.7000000000000004E-2</v>
      </c>
      <c r="DP19" t="s">
        <v>115</v>
      </c>
      <c r="DQ19" s="18">
        <v>44866</v>
      </c>
      <c r="DR19" s="19">
        <v>0.67638888888888893</v>
      </c>
      <c r="DS19">
        <v>0.33500000000000002</v>
      </c>
      <c r="DT19">
        <v>0.34200000000000003</v>
      </c>
      <c r="DU19">
        <v>0.31</v>
      </c>
      <c r="DW19" t="s">
        <v>114</v>
      </c>
      <c r="DX19" s="18">
        <v>44907</v>
      </c>
      <c r="DY19" s="19">
        <v>0.67013888888888884</v>
      </c>
      <c r="DZ19">
        <v>0.6865</v>
      </c>
      <c r="EA19">
        <v>1.21</v>
      </c>
      <c r="EB19">
        <v>1.18</v>
      </c>
      <c r="ED19" t="s">
        <v>113</v>
      </c>
      <c r="EE19" s="18">
        <v>44895</v>
      </c>
      <c r="EF19" s="19">
        <v>0.6694444444444444</v>
      </c>
      <c r="EG19">
        <v>0.1918</v>
      </c>
      <c r="EH19">
        <v>1.4</v>
      </c>
      <c r="EI19">
        <v>1.2190000000000001</v>
      </c>
      <c r="EK19" t="s">
        <v>116</v>
      </c>
      <c r="EL19" s="18">
        <v>44910</v>
      </c>
      <c r="EM19" s="19">
        <v>0.67013888888888884</v>
      </c>
      <c r="EN19">
        <v>2.5682</v>
      </c>
      <c r="EO19">
        <v>3.6</v>
      </c>
      <c r="EP19">
        <v>3.5030000000000001</v>
      </c>
      <c r="ER19" t="s">
        <v>117</v>
      </c>
      <c r="ES19" s="18">
        <v>44860</v>
      </c>
      <c r="ET19" s="19">
        <v>0.67361111111111116</v>
      </c>
      <c r="EU19">
        <v>8.4400000000000003E-2</v>
      </c>
      <c r="EV19">
        <v>0.39200000000000002</v>
      </c>
      <c r="EW19">
        <v>0.37</v>
      </c>
      <c r="EY19" t="s">
        <v>117</v>
      </c>
      <c r="EZ19" s="18">
        <v>44866</v>
      </c>
      <c r="FA19" s="19">
        <v>0.2673611111111111</v>
      </c>
      <c r="FB19">
        <v>1.9321999999999999</v>
      </c>
      <c r="FC19">
        <v>1.98</v>
      </c>
      <c r="FD19">
        <v>1.929</v>
      </c>
      <c r="FF19" t="s">
        <v>116</v>
      </c>
      <c r="FG19" s="18">
        <v>44939</v>
      </c>
      <c r="FH19" s="19">
        <v>0.24652777777777779</v>
      </c>
      <c r="FI19">
        <v>5.03</v>
      </c>
      <c r="FJ19">
        <v>5.34</v>
      </c>
      <c r="FK19">
        <v>5.17</v>
      </c>
      <c r="FM19" t="s">
        <v>111</v>
      </c>
      <c r="FN19" s="18">
        <v>45394</v>
      </c>
      <c r="FO19" s="19">
        <v>0.28194444444444444</v>
      </c>
      <c r="FP19">
        <v>4.4245000000000001</v>
      </c>
      <c r="FQ19">
        <v>4.63</v>
      </c>
      <c r="FR19">
        <v>4.1669999999999998</v>
      </c>
      <c r="FT19" t="s">
        <v>115</v>
      </c>
      <c r="FU19" s="18">
        <v>44903</v>
      </c>
      <c r="FV19" s="19">
        <v>0.67708333333333337</v>
      </c>
      <c r="FW19">
        <v>3.07</v>
      </c>
      <c r="FX19">
        <v>3.07</v>
      </c>
      <c r="FY19">
        <v>3.0910000000000002</v>
      </c>
      <c r="GA19" t="s">
        <v>117</v>
      </c>
      <c r="GB19" s="18">
        <v>44862</v>
      </c>
      <c r="GC19" s="19">
        <v>0.27083333333333331</v>
      </c>
      <c r="GD19">
        <v>4.4462999999999999</v>
      </c>
      <c r="GE19">
        <v>4.45</v>
      </c>
      <c r="GF19">
        <v>3.8929999999999998</v>
      </c>
    </row>
    <row r="20" spans="1:188" x14ac:dyDescent="0.3">
      <c r="A20" t="s">
        <v>117</v>
      </c>
      <c r="B20">
        <v>44770</v>
      </c>
      <c r="C20" s="19">
        <v>0.6875</v>
      </c>
      <c r="D20">
        <v>1.2</v>
      </c>
      <c r="E20">
        <v>1.2</v>
      </c>
      <c r="F20">
        <v>1.1619999999999999</v>
      </c>
      <c r="H20" t="s">
        <v>118</v>
      </c>
      <c r="I20" s="18">
        <v>44770</v>
      </c>
      <c r="J20" s="19">
        <v>0.66736111111111107</v>
      </c>
      <c r="K20">
        <v>-0.2</v>
      </c>
      <c r="L20">
        <v>0.10349999999999999</v>
      </c>
      <c r="M20">
        <v>0.14799999999999999</v>
      </c>
      <c r="O20" t="s">
        <v>118</v>
      </c>
      <c r="P20" s="18">
        <v>44768</v>
      </c>
      <c r="Q20" s="19">
        <v>0.67013888888888884</v>
      </c>
      <c r="R20">
        <v>1.21</v>
      </c>
      <c r="S20">
        <v>1.21</v>
      </c>
      <c r="T20">
        <v>1.341</v>
      </c>
      <c r="V20" t="s">
        <v>118</v>
      </c>
      <c r="W20" s="18">
        <v>44769</v>
      </c>
      <c r="X20" s="19">
        <v>0.67013888888888884</v>
      </c>
      <c r="Y20">
        <v>2.46</v>
      </c>
      <c r="Z20">
        <v>2.46</v>
      </c>
      <c r="AA20">
        <v>2.5409999999999999</v>
      </c>
      <c r="AC20" t="s">
        <v>116</v>
      </c>
      <c r="AD20" s="18">
        <v>44768</v>
      </c>
      <c r="AE20" s="19">
        <v>0.66666666666666663</v>
      </c>
      <c r="AF20">
        <v>2.2563</v>
      </c>
      <c r="AG20">
        <v>2.23</v>
      </c>
      <c r="AH20">
        <v>2.294</v>
      </c>
      <c r="AJ20" t="s">
        <v>117</v>
      </c>
      <c r="AK20" s="18">
        <v>44852</v>
      </c>
      <c r="AL20" s="19">
        <v>0.66666666666666663</v>
      </c>
      <c r="AM20">
        <v>0.31</v>
      </c>
      <c r="AN20">
        <v>0.31</v>
      </c>
      <c r="AO20">
        <v>0.21199999999999999</v>
      </c>
      <c r="AQ20" t="s">
        <v>114</v>
      </c>
      <c r="AR20" s="18">
        <v>44797</v>
      </c>
      <c r="AS20" s="19">
        <v>0.68055555555555558</v>
      </c>
      <c r="AT20">
        <v>0.03</v>
      </c>
      <c r="AU20">
        <v>5.0999999999999997E-2</v>
      </c>
      <c r="AV20">
        <v>0.05</v>
      </c>
      <c r="AX20" t="s">
        <v>118</v>
      </c>
      <c r="AY20" s="18">
        <v>44781</v>
      </c>
      <c r="AZ20" s="19">
        <v>0.29166666666666669</v>
      </c>
      <c r="BA20">
        <v>-0.09</v>
      </c>
      <c r="BB20">
        <v>-0.01</v>
      </c>
      <c r="BC20">
        <v>2.9000000000000001E-2</v>
      </c>
      <c r="BE20" t="s">
        <v>118</v>
      </c>
      <c r="BF20" s="18">
        <v>44762</v>
      </c>
      <c r="BG20" s="19">
        <v>0.67152777777777772</v>
      </c>
      <c r="BH20">
        <v>0.68240000000000001</v>
      </c>
      <c r="BI20">
        <v>0.75670000000000004</v>
      </c>
      <c r="BJ20">
        <v>0.61099999999999999</v>
      </c>
      <c r="BL20" t="s">
        <v>118</v>
      </c>
      <c r="BM20" s="18">
        <v>44756</v>
      </c>
      <c r="BN20" s="19">
        <v>0.56527777777777777</v>
      </c>
      <c r="BO20">
        <v>46.808100000000003</v>
      </c>
      <c r="BP20">
        <v>45.7</v>
      </c>
      <c r="BQ20">
        <v>42.481999999999999</v>
      </c>
      <c r="BS20" t="s">
        <v>117</v>
      </c>
      <c r="BT20" s="18">
        <v>44805</v>
      </c>
      <c r="BU20" s="19">
        <v>0.67708333333333337</v>
      </c>
      <c r="BV20">
        <v>0.72419999999999995</v>
      </c>
      <c r="BW20">
        <v>0.97299999999999998</v>
      </c>
      <c r="BX20">
        <v>0.94899999999999995</v>
      </c>
      <c r="BZ20" t="s">
        <v>118</v>
      </c>
      <c r="CA20" s="18">
        <v>44775</v>
      </c>
      <c r="CB20" s="19">
        <v>0.67013888888888884</v>
      </c>
      <c r="CC20">
        <v>0.36430000000000001</v>
      </c>
      <c r="CD20">
        <v>1.05</v>
      </c>
      <c r="CE20">
        <v>1.04</v>
      </c>
      <c r="CG20" t="s">
        <v>117</v>
      </c>
      <c r="CH20" s="18">
        <v>44742</v>
      </c>
      <c r="CI20" s="19">
        <v>0.66736111111111107</v>
      </c>
      <c r="CJ20">
        <v>2.5036999999999998</v>
      </c>
      <c r="CK20">
        <v>2.59</v>
      </c>
      <c r="CL20">
        <v>2.448</v>
      </c>
      <c r="CN20" t="s">
        <v>118</v>
      </c>
      <c r="CO20" s="18">
        <v>44775</v>
      </c>
      <c r="CP20" s="19">
        <v>0.66736111111111107</v>
      </c>
      <c r="CQ20">
        <v>-2.9843000000000002</v>
      </c>
      <c r="CR20">
        <v>-9.2810000000000006</v>
      </c>
      <c r="CS20">
        <v>-2.4245362661989844E-14</v>
      </c>
      <c r="CU20" t="s">
        <v>118</v>
      </c>
      <c r="CV20" s="18">
        <v>44782</v>
      </c>
      <c r="CW20" s="19">
        <v>0.6791666666666667</v>
      </c>
      <c r="CX20">
        <v>-2.5693999999999999</v>
      </c>
      <c r="CY20">
        <v>-4.9800000000000004</v>
      </c>
      <c r="CZ20">
        <v>-2.4</v>
      </c>
      <c r="DB20" t="s">
        <v>118</v>
      </c>
      <c r="DC20" s="18">
        <v>44775</v>
      </c>
      <c r="DD20" s="19">
        <v>0.67708333333333337</v>
      </c>
      <c r="DE20">
        <v>-0.31559999999999999</v>
      </c>
      <c r="DF20">
        <v>-0.34</v>
      </c>
      <c r="DG20">
        <v>-0.36399999999999999</v>
      </c>
      <c r="DI20" t="s">
        <v>118</v>
      </c>
      <c r="DJ20" s="18">
        <v>44769</v>
      </c>
      <c r="DK20" s="19">
        <v>0.29166666666666669</v>
      </c>
      <c r="DL20">
        <v>-0.14810000000000001</v>
      </c>
      <c r="DM20">
        <v>-0.03</v>
      </c>
      <c r="DN20">
        <v>2.4E-2</v>
      </c>
      <c r="DP20" t="s">
        <v>116</v>
      </c>
      <c r="DQ20" s="18">
        <v>44782</v>
      </c>
      <c r="DR20" s="19">
        <v>0.67013888888888884</v>
      </c>
      <c r="DS20">
        <v>0.26019999999999999</v>
      </c>
      <c r="DT20">
        <v>0.26200000000000001</v>
      </c>
      <c r="DU20">
        <v>0.23300000000000001</v>
      </c>
      <c r="DW20" t="s">
        <v>115</v>
      </c>
      <c r="DX20" s="18">
        <v>44816</v>
      </c>
      <c r="DY20" s="19">
        <v>0.67013888888888884</v>
      </c>
      <c r="DZ20">
        <v>0.60650000000000004</v>
      </c>
      <c r="EA20">
        <v>1.03</v>
      </c>
      <c r="EB20">
        <v>1.0620000000000001</v>
      </c>
      <c r="ED20" t="s">
        <v>114</v>
      </c>
      <c r="EE20" s="18">
        <v>44797</v>
      </c>
      <c r="EF20" s="19">
        <v>0.67013888888888884</v>
      </c>
      <c r="EG20">
        <v>3.2500000000000001E-2</v>
      </c>
      <c r="EH20">
        <v>1.19</v>
      </c>
      <c r="EI20">
        <v>1.028</v>
      </c>
      <c r="EK20" t="s">
        <v>117</v>
      </c>
      <c r="EL20" s="18">
        <v>44819</v>
      </c>
      <c r="EM20" s="19">
        <v>0.33333333333333331</v>
      </c>
      <c r="EN20">
        <v>2.4424000000000001</v>
      </c>
      <c r="EO20">
        <v>3.4</v>
      </c>
      <c r="EP20">
        <v>3.3340000000000001</v>
      </c>
      <c r="ER20" t="s">
        <v>118</v>
      </c>
      <c r="ES20" s="18">
        <v>44769</v>
      </c>
      <c r="ET20" s="19">
        <v>0.67361111111111116</v>
      </c>
      <c r="EU20">
        <v>2.4E-2</v>
      </c>
      <c r="EV20">
        <v>0.32400000000000001</v>
      </c>
      <c r="EW20">
        <v>0.312</v>
      </c>
      <c r="EY20" t="s">
        <v>118</v>
      </c>
      <c r="EZ20" s="18">
        <v>44777</v>
      </c>
      <c r="FA20" s="19">
        <v>0.2673611111111111</v>
      </c>
      <c r="FB20">
        <v>1.5278</v>
      </c>
      <c r="FC20">
        <v>1.25</v>
      </c>
      <c r="FD20">
        <v>1.637</v>
      </c>
      <c r="FF20" t="s">
        <v>117</v>
      </c>
      <c r="FG20" s="18">
        <v>44848</v>
      </c>
      <c r="FH20" s="19">
        <v>0.24652777777777779</v>
      </c>
      <c r="FI20">
        <v>5.55</v>
      </c>
      <c r="FJ20">
        <v>5.79</v>
      </c>
      <c r="FK20">
        <v>5.4169999999999998</v>
      </c>
      <c r="FM20" t="s">
        <v>112</v>
      </c>
      <c r="FN20" s="18">
        <v>45303</v>
      </c>
      <c r="FO20" s="19">
        <v>0.29097222222222224</v>
      </c>
      <c r="FP20">
        <v>3.1150000000000002</v>
      </c>
      <c r="FQ20">
        <v>3.97</v>
      </c>
      <c r="FR20">
        <v>3.6179999999999999</v>
      </c>
      <c r="FT20" t="s">
        <v>116</v>
      </c>
      <c r="FU20" s="18">
        <v>44826</v>
      </c>
      <c r="FV20" s="19">
        <v>0.67708333333333337</v>
      </c>
      <c r="FW20">
        <v>4.2</v>
      </c>
      <c r="FX20">
        <v>4.2</v>
      </c>
      <c r="FY20">
        <v>4.1440000000000001</v>
      </c>
      <c r="GA20" t="s">
        <v>118</v>
      </c>
      <c r="GB20" s="18">
        <v>44771</v>
      </c>
      <c r="GC20" s="19">
        <v>0.27083333333333331</v>
      </c>
      <c r="GD20">
        <v>4.1394000000000002</v>
      </c>
      <c r="GE20">
        <v>4.1399999999999997</v>
      </c>
      <c r="GF20">
        <v>3.9750000000000001</v>
      </c>
    </row>
    <row r="21" spans="1:188" x14ac:dyDescent="0.3">
      <c r="A21" t="s">
        <v>118</v>
      </c>
      <c r="B21">
        <v>44679</v>
      </c>
      <c r="C21" s="19">
        <v>0.6875</v>
      </c>
      <c r="D21">
        <v>1.52</v>
      </c>
      <c r="E21">
        <v>1.52</v>
      </c>
      <c r="F21">
        <v>1.423</v>
      </c>
      <c r="H21" t="s">
        <v>119</v>
      </c>
      <c r="I21" s="18">
        <v>44679</v>
      </c>
      <c r="J21" s="19">
        <v>0.66736111111111107</v>
      </c>
      <c r="K21">
        <v>-0.378</v>
      </c>
      <c r="L21">
        <v>0.2122</v>
      </c>
      <c r="M21">
        <v>0.42299999999999999</v>
      </c>
      <c r="O21" t="s">
        <v>119</v>
      </c>
      <c r="P21" s="18">
        <v>44677</v>
      </c>
      <c r="Q21" s="19">
        <v>0.66736111111111107</v>
      </c>
      <c r="R21">
        <v>1.2310000000000001</v>
      </c>
      <c r="S21">
        <v>1.2310000000000001</v>
      </c>
      <c r="T21">
        <v>1.274</v>
      </c>
      <c r="V21" t="s">
        <v>119</v>
      </c>
      <c r="W21" s="18">
        <v>44678</v>
      </c>
      <c r="X21" s="19">
        <v>0.67013888888888884</v>
      </c>
      <c r="Y21">
        <v>2.72</v>
      </c>
      <c r="Z21">
        <v>2.72</v>
      </c>
      <c r="AA21">
        <v>2.5640000000000001</v>
      </c>
      <c r="AC21" t="s">
        <v>117</v>
      </c>
      <c r="AD21" s="18">
        <v>44677</v>
      </c>
      <c r="AE21" s="19">
        <v>0.6694444444444444</v>
      </c>
      <c r="AF21">
        <v>2.2269000000000001</v>
      </c>
      <c r="AG21">
        <v>2.2200000000000002</v>
      </c>
      <c r="AH21">
        <v>2.1890000000000001</v>
      </c>
      <c r="AJ21" t="s">
        <v>118</v>
      </c>
      <c r="AK21" s="18">
        <v>44761</v>
      </c>
      <c r="AL21" s="19">
        <v>0.66666666666666663</v>
      </c>
      <c r="AM21">
        <v>0.32</v>
      </c>
      <c r="AN21">
        <v>0.32</v>
      </c>
      <c r="AO21">
        <v>0.29199999999999998</v>
      </c>
      <c r="AQ21" t="s">
        <v>115</v>
      </c>
      <c r="AR21" s="18">
        <v>44706</v>
      </c>
      <c r="AS21" s="19">
        <v>0.68055555555555558</v>
      </c>
      <c r="AT21">
        <v>0.1111</v>
      </c>
      <c r="AU21">
        <v>0.13569999999999999</v>
      </c>
      <c r="AV21">
        <v>0.13100000000000001</v>
      </c>
      <c r="AX21" t="s">
        <v>119</v>
      </c>
      <c r="AY21" s="18">
        <v>44690</v>
      </c>
      <c r="AZ21" s="19">
        <v>0.29166666666666669</v>
      </c>
      <c r="BA21">
        <v>-0.05</v>
      </c>
      <c r="BB21">
        <v>0.02</v>
      </c>
      <c r="BC21">
        <v>3.4000000000000002E-2</v>
      </c>
      <c r="BE21" t="s">
        <v>119</v>
      </c>
      <c r="BF21" s="18">
        <v>44671</v>
      </c>
      <c r="BG21" s="19">
        <v>0.67291666666666672</v>
      </c>
      <c r="BH21">
        <v>0.95330000000000004</v>
      </c>
      <c r="BI21">
        <v>1.0732999999999999</v>
      </c>
      <c r="BJ21">
        <v>0.75700000000000001</v>
      </c>
      <c r="BL21" t="s">
        <v>119</v>
      </c>
      <c r="BM21" s="18">
        <v>44665</v>
      </c>
      <c r="BO21">
        <v>39.295000000000002</v>
      </c>
      <c r="BP21">
        <v>39.1</v>
      </c>
      <c r="BQ21">
        <v>36.058999999999997</v>
      </c>
      <c r="BS21" t="s">
        <v>118</v>
      </c>
      <c r="BT21" s="18">
        <v>44707</v>
      </c>
      <c r="BU21" s="19">
        <v>0.29236111111111113</v>
      </c>
      <c r="BV21">
        <v>0.64319999999999999</v>
      </c>
      <c r="BW21">
        <v>0.90700000000000003</v>
      </c>
      <c r="BX21">
        <v>0.873</v>
      </c>
      <c r="BZ21" t="s">
        <v>119</v>
      </c>
      <c r="CA21" s="18">
        <v>44684</v>
      </c>
      <c r="CB21" s="19">
        <v>0.67361111111111116</v>
      </c>
      <c r="CC21">
        <v>0.68369999999999997</v>
      </c>
      <c r="CD21">
        <v>1.1299999999999999</v>
      </c>
      <c r="CE21">
        <v>0.90300000000000002</v>
      </c>
      <c r="CG21" t="s">
        <v>118</v>
      </c>
      <c r="CH21" s="18">
        <v>44649</v>
      </c>
      <c r="CI21" s="19">
        <v>0.67083333333333328</v>
      </c>
      <c r="CJ21">
        <v>2.0714000000000001</v>
      </c>
      <c r="CK21">
        <v>2.14</v>
      </c>
      <c r="CL21">
        <v>1.9930000000000001</v>
      </c>
      <c r="CN21" t="s">
        <v>119</v>
      </c>
      <c r="CO21" s="18">
        <v>44684</v>
      </c>
      <c r="CP21" s="19">
        <v>0.66736111111111107</v>
      </c>
      <c r="CQ21">
        <v>0.31940000000000002</v>
      </c>
      <c r="CR21">
        <v>-1.0306999999999999</v>
      </c>
      <c r="CS21">
        <v>0.15</v>
      </c>
      <c r="CU21" t="s">
        <v>119</v>
      </c>
      <c r="CV21" s="18">
        <v>44691</v>
      </c>
      <c r="CW21" s="19">
        <v>0.67361111111111116</v>
      </c>
      <c r="CX21">
        <v>-0.19389999999999999</v>
      </c>
      <c r="CY21">
        <v>-1.98</v>
      </c>
      <c r="CZ21">
        <v>0.20100000000000001</v>
      </c>
      <c r="DB21" t="s">
        <v>119</v>
      </c>
      <c r="DC21" s="18">
        <v>44679</v>
      </c>
      <c r="DD21" s="19">
        <v>0.66736111111111107</v>
      </c>
      <c r="DE21">
        <v>-0.44259999999999999</v>
      </c>
      <c r="DF21">
        <v>-0.45</v>
      </c>
      <c r="DG21">
        <v>-0.41199999999999998</v>
      </c>
      <c r="DI21" t="s">
        <v>119</v>
      </c>
      <c r="DJ21" s="18">
        <v>44686</v>
      </c>
      <c r="DK21" s="19">
        <v>0.29236111111111113</v>
      </c>
      <c r="DL21">
        <v>-7.1800000000000003E-2</v>
      </c>
      <c r="DM21">
        <v>0.02</v>
      </c>
      <c r="DN21">
        <v>6.4000000000000001E-2</v>
      </c>
      <c r="DP21" t="s">
        <v>117</v>
      </c>
      <c r="DQ21" s="18">
        <v>44684</v>
      </c>
      <c r="DR21" s="19">
        <v>0.67013888888888884</v>
      </c>
      <c r="DS21">
        <v>0.14860000000000001</v>
      </c>
      <c r="DT21">
        <v>0.155</v>
      </c>
      <c r="DU21">
        <v>0.112</v>
      </c>
      <c r="DW21" t="s">
        <v>116</v>
      </c>
      <c r="DX21" s="18">
        <v>44725</v>
      </c>
      <c r="DY21" s="19">
        <v>0.67013888888888884</v>
      </c>
      <c r="DZ21">
        <v>1.1972</v>
      </c>
      <c r="EA21">
        <v>1.54</v>
      </c>
      <c r="EB21">
        <v>1.377</v>
      </c>
      <c r="ED21" t="s">
        <v>115</v>
      </c>
      <c r="EE21" s="18">
        <v>44712</v>
      </c>
      <c r="EF21" s="19">
        <v>0.67013888888888884</v>
      </c>
      <c r="EG21">
        <v>2.2700000000000001E-2</v>
      </c>
      <c r="EH21">
        <v>0.98</v>
      </c>
      <c r="EI21">
        <v>0.95199999999999996</v>
      </c>
      <c r="EK21" t="s">
        <v>118</v>
      </c>
      <c r="EL21" s="18">
        <v>44728</v>
      </c>
      <c r="EM21" s="19">
        <v>0.67013888888888884</v>
      </c>
      <c r="EN21">
        <v>2.5051999999999999</v>
      </c>
      <c r="EO21">
        <v>3.35</v>
      </c>
      <c r="EP21">
        <v>3.3090000000000002</v>
      </c>
      <c r="ER21" t="s">
        <v>119</v>
      </c>
      <c r="ES21" s="18">
        <v>44678</v>
      </c>
      <c r="ET21" s="19">
        <v>0.67361111111111116</v>
      </c>
      <c r="EU21">
        <v>7.7899999999999997E-2</v>
      </c>
      <c r="EV21">
        <v>0.34599999999999997</v>
      </c>
      <c r="EW21">
        <v>0.34100000000000003</v>
      </c>
      <c r="EY21" t="s">
        <v>119</v>
      </c>
      <c r="EZ21" s="18">
        <v>44679</v>
      </c>
      <c r="FA21" s="19">
        <v>0.2673611111111111</v>
      </c>
      <c r="FB21">
        <v>2.5838000000000001</v>
      </c>
      <c r="FC21">
        <v>2.77</v>
      </c>
      <c r="FD21">
        <v>2.36</v>
      </c>
      <c r="FF21" t="s">
        <v>118</v>
      </c>
      <c r="FG21" s="18">
        <v>44757</v>
      </c>
      <c r="FH21" s="19">
        <v>0.24652777777777779</v>
      </c>
      <c r="FI21">
        <v>5.34</v>
      </c>
      <c r="FJ21">
        <v>5.57</v>
      </c>
      <c r="FK21">
        <v>5.1890000000000001</v>
      </c>
      <c r="FM21" t="s">
        <v>113</v>
      </c>
      <c r="FN21" s="18">
        <v>45212</v>
      </c>
      <c r="FO21" s="19">
        <v>0.28333333333333333</v>
      </c>
      <c r="FP21">
        <v>4.4927000000000001</v>
      </c>
      <c r="FQ21">
        <v>4.33</v>
      </c>
      <c r="FR21">
        <v>3.9460000000000002</v>
      </c>
      <c r="FT21" t="s">
        <v>117</v>
      </c>
      <c r="FU21" s="18">
        <v>44707</v>
      </c>
      <c r="FV21" s="19">
        <v>0.67708333333333337</v>
      </c>
      <c r="FW21">
        <v>3.17</v>
      </c>
      <c r="FX21">
        <v>3.04</v>
      </c>
      <c r="FY21">
        <v>3.0219999999999998</v>
      </c>
      <c r="GA21" t="s">
        <v>119</v>
      </c>
      <c r="GB21" s="18">
        <v>44680</v>
      </c>
      <c r="GC21" s="19">
        <v>0.27083333333333331</v>
      </c>
      <c r="GD21">
        <v>2.0659999999999998</v>
      </c>
      <c r="GE21">
        <v>2.0699999999999998</v>
      </c>
      <c r="GF21">
        <v>2.2429999999999999</v>
      </c>
    </row>
    <row r="22" spans="1:188" x14ac:dyDescent="0.3">
      <c r="A22" t="s">
        <v>119</v>
      </c>
      <c r="B22">
        <v>44588</v>
      </c>
      <c r="C22" s="19">
        <v>0.6875</v>
      </c>
      <c r="D22">
        <v>2.1</v>
      </c>
      <c r="E22">
        <v>2.1</v>
      </c>
      <c r="F22">
        <v>1.9</v>
      </c>
      <c r="H22" t="s">
        <v>120</v>
      </c>
      <c r="I22" s="18">
        <v>44595</v>
      </c>
      <c r="J22" s="19">
        <v>0.66736111111111107</v>
      </c>
      <c r="K22">
        <v>1.3875</v>
      </c>
      <c r="L22">
        <v>0.48459999999999998</v>
      </c>
      <c r="M22">
        <v>0.188</v>
      </c>
      <c r="O22" t="s">
        <v>120</v>
      </c>
      <c r="P22" s="18">
        <v>44593</v>
      </c>
      <c r="Q22" s="19">
        <v>0.6694444444444444</v>
      </c>
      <c r="R22">
        <v>1.5345</v>
      </c>
      <c r="S22">
        <v>2.0074999999999998</v>
      </c>
      <c r="T22">
        <v>1.373</v>
      </c>
      <c r="V22" t="s">
        <v>120</v>
      </c>
      <c r="W22" s="18">
        <v>44594</v>
      </c>
      <c r="X22" s="19">
        <v>0.67013888888888884</v>
      </c>
      <c r="Y22">
        <v>3.67</v>
      </c>
      <c r="Z22">
        <v>3.67</v>
      </c>
      <c r="AA22">
        <v>3.8359999999999999</v>
      </c>
      <c r="AC22" t="s">
        <v>118</v>
      </c>
      <c r="AD22" s="18">
        <v>44586</v>
      </c>
      <c r="AE22" s="19">
        <v>0.66736111111111107</v>
      </c>
      <c r="AF22">
        <v>2.4485999999999999</v>
      </c>
      <c r="AG22">
        <v>2.48</v>
      </c>
      <c r="AH22">
        <v>2.3159999999999998</v>
      </c>
      <c r="AJ22" t="s">
        <v>119</v>
      </c>
      <c r="AK22" s="18">
        <v>44670</v>
      </c>
      <c r="AL22" s="19">
        <v>0.66666666666666663</v>
      </c>
      <c r="AM22">
        <v>0.35299999999999998</v>
      </c>
      <c r="AN22">
        <v>0.35299999999999998</v>
      </c>
      <c r="AO22">
        <v>0.29199999999999998</v>
      </c>
      <c r="AQ22" t="s">
        <v>116</v>
      </c>
      <c r="AR22" s="18">
        <v>44608</v>
      </c>
      <c r="AS22" s="19">
        <v>0.68055555555555558</v>
      </c>
      <c r="AT22">
        <v>0.1221</v>
      </c>
      <c r="AU22">
        <v>0.13200000000000001</v>
      </c>
      <c r="AV22">
        <v>0.121</v>
      </c>
      <c r="AX22" t="s">
        <v>120</v>
      </c>
      <c r="AY22" s="18">
        <v>44609</v>
      </c>
      <c r="AZ22" s="19">
        <v>0.25</v>
      </c>
      <c r="BA22">
        <v>-5.4100000000000002E-2</v>
      </c>
      <c r="BB22">
        <v>8.5500000000000007E-2</v>
      </c>
      <c r="BC22">
        <v>3.4000000000000002E-2</v>
      </c>
      <c r="BE22" t="s">
        <v>120</v>
      </c>
      <c r="BF22" s="18">
        <v>44587</v>
      </c>
      <c r="BG22" s="19">
        <v>0.6694444444444444</v>
      </c>
      <c r="BH22">
        <v>0.68330000000000002</v>
      </c>
      <c r="BI22">
        <v>0.84670000000000001</v>
      </c>
      <c r="BJ22">
        <v>0.78800000000000003</v>
      </c>
      <c r="BL22" t="s">
        <v>255</v>
      </c>
      <c r="BM22" s="18">
        <v>44574</v>
      </c>
      <c r="BN22" s="19">
        <v>0.57013888888888886</v>
      </c>
      <c r="BO22">
        <v>116.2801</v>
      </c>
      <c r="BP22">
        <v>115.05</v>
      </c>
      <c r="BQ22">
        <v>114.164</v>
      </c>
      <c r="BS22" t="s">
        <v>119</v>
      </c>
      <c r="BT22" s="18">
        <v>44623</v>
      </c>
      <c r="BU22" s="19">
        <v>0.67708333333333337</v>
      </c>
      <c r="BV22">
        <v>0.56850000000000001</v>
      </c>
      <c r="BW22">
        <v>0.83899999999999997</v>
      </c>
      <c r="BX22">
        <v>0.81299999999999994</v>
      </c>
      <c r="BZ22" t="s">
        <v>120</v>
      </c>
      <c r="CA22" s="18">
        <v>44593</v>
      </c>
      <c r="CB22" s="19">
        <v>0.67708333333333337</v>
      </c>
      <c r="CC22">
        <v>0.80259999999999998</v>
      </c>
      <c r="CD22">
        <v>0.92</v>
      </c>
      <c r="CE22">
        <v>0.751</v>
      </c>
      <c r="CG22" t="s">
        <v>119</v>
      </c>
      <c r="CH22" s="18">
        <v>44550</v>
      </c>
      <c r="CI22" s="19">
        <v>0.66805555555555551</v>
      </c>
      <c r="CJ22">
        <v>2.0985999999999998</v>
      </c>
      <c r="CK22">
        <v>2.16</v>
      </c>
      <c r="CL22">
        <v>2.1160000000000001</v>
      </c>
      <c r="CN22" t="s">
        <v>120</v>
      </c>
      <c r="CO22" s="18">
        <v>44593</v>
      </c>
      <c r="CP22" s="19">
        <v>0.66736111111111107</v>
      </c>
      <c r="CQ22">
        <v>0.2414</v>
      </c>
      <c r="CR22">
        <v>0.24179999999999999</v>
      </c>
      <c r="CS22">
        <v>0.153</v>
      </c>
      <c r="CU22" t="s">
        <v>120</v>
      </c>
      <c r="CV22" s="18">
        <v>44616</v>
      </c>
      <c r="CW22" s="19">
        <v>0.66666666666666663</v>
      </c>
      <c r="CX22">
        <v>4.9980000000000002</v>
      </c>
      <c r="CY22">
        <v>3.32</v>
      </c>
      <c r="CZ22">
        <v>2.3420000000000001</v>
      </c>
      <c r="DB22" t="s">
        <v>120</v>
      </c>
      <c r="DC22" s="18">
        <v>44588</v>
      </c>
      <c r="DD22" s="19">
        <v>0.66736111111111107</v>
      </c>
      <c r="DE22">
        <v>-1.8265</v>
      </c>
      <c r="DF22">
        <v>-0.49</v>
      </c>
      <c r="DG22">
        <v>-0.42299999999999999</v>
      </c>
      <c r="DI22" t="s">
        <v>120</v>
      </c>
      <c r="DJ22" s="18">
        <v>44608</v>
      </c>
      <c r="DK22" s="19">
        <v>0.29166666666666669</v>
      </c>
      <c r="DL22">
        <v>5.74E-2</v>
      </c>
      <c r="DM22">
        <v>0.13600000000000001</v>
      </c>
      <c r="DN22">
        <v>0.126</v>
      </c>
      <c r="DP22" t="s">
        <v>118</v>
      </c>
      <c r="DQ22" s="18">
        <v>44593</v>
      </c>
      <c r="DR22" s="19">
        <v>0.68194444444444446</v>
      </c>
      <c r="DS22">
        <v>7.8E-2</v>
      </c>
      <c r="DT22">
        <v>8.7999999999999995E-2</v>
      </c>
      <c r="DU22">
        <v>7.6999999999999999E-2</v>
      </c>
      <c r="DW22" t="s">
        <v>117</v>
      </c>
      <c r="DX22" s="18">
        <v>44630</v>
      </c>
      <c r="DY22" s="19">
        <v>0.67013888888888884</v>
      </c>
      <c r="DZ22">
        <v>0.85119999999999996</v>
      </c>
      <c r="EA22">
        <v>1.1299999999999999</v>
      </c>
      <c r="EB22">
        <v>1.1779999999999999</v>
      </c>
      <c r="ED22" t="s">
        <v>116</v>
      </c>
      <c r="EE22" s="18">
        <v>44621</v>
      </c>
      <c r="EF22" s="19">
        <v>0.67013888888888884</v>
      </c>
      <c r="EG22">
        <v>-5.7200000000000001E-2</v>
      </c>
      <c r="EH22">
        <v>0.84</v>
      </c>
      <c r="EI22">
        <v>0.745</v>
      </c>
      <c r="EK22" t="s">
        <v>119</v>
      </c>
      <c r="EL22" s="18">
        <v>44642</v>
      </c>
      <c r="EM22" s="19">
        <v>0.67013888888888884</v>
      </c>
      <c r="EN22">
        <v>2.7467000000000001</v>
      </c>
      <c r="EO22">
        <v>3.37</v>
      </c>
      <c r="EP22">
        <v>3.343</v>
      </c>
      <c r="ER22" t="s">
        <v>120</v>
      </c>
      <c r="ES22" s="18">
        <v>44587</v>
      </c>
      <c r="ET22" s="19">
        <v>0.67361111111111116</v>
      </c>
      <c r="EU22">
        <v>3.0800000000000001E-2</v>
      </c>
      <c r="EV22">
        <v>0.29199999999999998</v>
      </c>
      <c r="EW22">
        <v>0.28699999999999998</v>
      </c>
      <c r="EY22" t="s">
        <v>120</v>
      </c>
      <c r="EZ22" s="18">
        <v>44595</v>
      </c>
      <c r="FA22" s="19">
        <v>0.2673611111111111</v>
      </c>
      <c r="FB22">
        <v>2.2404999999999999</v>
      </c>
      <c r="FC22">
        <v>2.4900000000000002</v>
      </c>
      <c r="FD22">
        <v>2.4830000000000001</v>
      </c>
      <c r="FF22" t="s">
        <v>119</v>
      </c>
      <c r="FG22" s="18">
        <v>44665</v>
      </c>
      <c r="FH22" s="19">
        <v>0.24652777777777779</v>
      </c>
      <c r="FI22">
        <v>5.27</v>
      </c>
      <c r="FJ22">
        <v>5.49</v>
      </c>
      <c r="FK22">
        <v>5.3520000000000003</v>
      </c>
      <c r="FM22" t="s">
        <v>114</v>
      </c>
      <c r="FN22" s="18">
        <v>45121</v>
      </c>
      <c r="FO22" s="19">
        <v>0.28402777777777777</v>
      </c>
      <c r="FP22">
        <v>4.8529</v>
      </c>
      <c r="FQ22">
        <v>4.37</v>
      </c>
      <c r="FR22">
        <v>3.8290000000000002</v>
      </c>
      <c r="FT22" t="s">
        <v>118</v>
      </c>
      <c r="FU22" s="18">
        <v>44623</v>
      </c>
      <c r="FV22" s="19">
        <v>0.67708333333333337</v>
      </c>
      <c r="FW22">
        <v>2.92</v>
      </c>
      <c r="FX22">
        <v>2.92</v>
      </c>
      <c r="FY22">
        <v>2.754</v>
      </c>
      <c r="GA22" t="s">
        <v>120</v>
      </c>
      <c r="GB22" s="18">
        <v>44593</v>
      </c>
      <c r="GC22" s="19">
        <v>0.31319444444444444</v>
      </c>
      <c r="GD22">
        <v>1.9987999999999999</v>
      </c>
      <c r="GE22">
        <v>2.0499999999999998</v>
      </c>
      <c r="GF22">
        <v>1.929</v>
      </c>
    </row>
    <row r="23" spans="1:188" x14ac:dyDescent="0.3">
      <c r="A23" t="s">
        <v>120</v>
      </c>
      <c r="B23">
        <v>44497</v>
      </c>
      <c r="C23" s="19">
        <v>0.6875</v>
      </c>
      <c r="D23">
        <v>1.24</v>
      </c>
      <c r="E23">
        <v>1.2354000000000001</v>
      </c>
      <c r="F23">
        <v>1.236</v>
      </c>
      <c r="H23" t="s">
        <v>121</v>
      </c>
      <c r="I23" s="18">
        <v>44497</v>
      </c>
      <c r="J23" s="19">
        <v>0.66736111111111107</v>
      </c>
      <c r="K23">
        <v>0.30599999999999999</v>
      </c>
      <c r="L23">
        <v>0.30599999999999999</v>
      </c>
      <c r="M23">
        <v>0.44800000000000001</v>
      </c>
      <c r="O23" t="s">
        <v>121</v>
      </c>
      <c r="P23" s="18">
        <v>44495</v>
      </c>
      <c r="Q23" s="19">
        <v>0.66805555555555551</v>
      </c>
      <c r="R23">
        <v>1.3995</v>
      </c>
      <c r="S23">
        <v>1.3045</v>
      </c>
      <c r="T23">
        <v>1.175</v>
      </c>
      <c r="V23" t="s">
        <v>121</v>
      </c>
      <c r="W23" s="18">
        <v>44494</v>
      </c>
      <c r="X23" s="19">
        <v>0.67013888888888884</v>
      </c>
      <c r="Y23">
        <v>3.22</v>
      </c>
      <c r="Z23">
        <v>3.22</v>
      </c>
      <c r="AA23">
        <v>3.1739999999999999</v>
      </c>
      <c r="AC23" t="s">
        <v>119</v>
      </c>
      <c r="AD23" s="18">
        <v>44495</v>
      </c>
      <c r="AE23" s="19">
        <v>0.66736111111111107</v>
      </c>
      <c r="AF23">
        <v>2.2522000000000002</v>
      </c>
      <c r="AG23">
        <v>2.27</v>
      </c>
      <c r="AH23">
        <v>2.0720000000000001</v>
      </c>
      <c r="AJ23" t="s">
        <v>120</v>
      </c>
      <c r="AK23" s="18">
        <v>44581</v>
      </c>
      <c r="AL23" s="19">
        <v>0.66666666666666663</v>
      </c>
      <c r="AM23">
        <v>0.13300000000000001</v>
      </c>
      <c r="AN23">
        <v>0.13300000000000001</v>
      </c>
      <c r="AO23">
        <v>8.1000000000000003E-2</v>
      </c>
      <c r="AQ23" t="s">
        <v>117</v>
      </c>
      <c r="AR23" s="18">
        <v>44517</v>
      </c>
      <c r="AS23" s="19">
        <v>0.68055555555555558</v>
      </c>
      <c r="AT23">
        <v>0.1033</v>
      </c>
      <c r="AU23">
        <v>0.11700000000000001</v>
      </c>
      <c r="AV23">
        <v>0.11</v>
      </c>
      <c r="AX23" t="s">
        <v>121</v>
      </c>
      <c r="AY23" s="18">
        <v>44509</v>
      </c>
      <c r="AZ23" s="19">
        <v>0.29166666666666669</v>
      </c>
      <c r="BA23">
        <v>-3.9E-2</v>
      </c>
      <c r="BB23">
        <v>0.04</v>
      </c>
      <c r="BC23">
        <v>3.6999999999999998E-2</v>
      </c>
      <c r="BE23" t="s">
        <v>121</v>
      </c>
      <c r="BF23" s="18">
        <v>44489</v>
      </c>
      <c r="BG23" s="19">
        <v>0.67222222222222228</v>
      </c>
      <c r="BH23">
        <v>0.49199999999999999</v>
      </c>
      <c r="BI23">
        <v>0.62</v>
      </c>
      <c r="BJ23">
        <v>0.55700000000000005</v>
      </c>
      <c r="BL23" t="s">
        <v>121</v>
      </c>
      <c r="BM23" s="18">
        <v>44483</v>
      </c>
      <c r="BO23">
        <v>30.523199999999999</v>
      </c>
      <c r="BP23">
        <v>30.15</v>
      </c>
      <c r="BQ23">
        <v>28.942</v>
      </c>
      <c r="BS23" t="s">
        <v>120</v>
      </c>
      <c r="BT23" s="18">
        <v>44539</v>
      </c>
      <c r="BU23" s="19">
        <v>0.67708333333333337</v>
      </c>
      <c r="BV23">
        <v>0.4551</v>
      </c>
      <c r="BW23">
        <v>0.78100000000000003</v>
      </c>
      <c r="BX23">
        <v>0.77700000000000002</v>
      </c>
      <c r="BZ23" t="s">
        <v>121</v>
      </c>
      <c r="CA23" s="18">
        <v>44495</v>
      </c>
      <c r="CB23" s="19">
        <v>0.67708333333333337</v>
      </c>
      <c r="CC23">
        <v>0.77629999999999999</v>
      </c>
      <c r="CD23">
        <v>0.73</v>
      </c>
      <c r="CE23">
        <v>0.66700000000000004</v>
      </c>
      <c r="CG23" t="s">
        <v>120</v>
      </c>
      <c r="CH23" s="18">
        <v>44467</v>
      </c>
      <c r="CI23" s="19">
        <v>0.66736111111111107</v>
      </c>
      <c r="CJ23">
        <v>2.3708999999999998</v>
      </c>
      <c r="CK23">
        <v>2.42</v>
      </c>
      <c r="CL23">
        <v>2.3479999999999999</v>
      </c>
      <c r="CN23" t="s">
        <v>121</v>
      </c>
      <c r="CO23" s="18">
        <v>44497</v>
      </c>
      <c r="CP23" s="19">
        <v>0.66736111111111107</v>
      </c>
      <c r="CQ23">
        <v>8.7400000000000005E-2</v>
      </c>
      <c r="CR23">
        <v>-0.2397</v>
      </c>
      <c r="CS23">
        <v>0.122</v>
      </c>
      <c r="CU23" t="s">
        <v>121</v>
      </c>
      <c r="CV23" s="18">
        <v>44509</v>
      </c>
      <c r="CW23" s="19">
        <v>0.66666666666666663</v>
      </c>
      <c r="CX23">
        <v>2.2890999999999999</v>
      </c>
      <c r="CY23">
        <v>1.696</v>
      </c>
      <c r="CZ23">
        <v>1.7050000000000001</v>
      </c>
      <c r="DB23" t="s">
        <v>121</v>
      </c>
      <c r="DC23" s="18">
        <v>44495</v>
      </c>
      <c r="DD23" s="19">
        <v>0.66874999999999996</v>
      </c>
      <c r="DE23">
        <v>-2.0945999999999998</v>
      </c>
      <c r="DF23">
        <v>-2.0632000000000001</v>
      </c>
      <c r="DG23">
        <v>-0.85299999999999998</v>
      </c>
      <c r="DI23" t="s">
        <v>121</v>
      </c>
      <c r="DJ23" s="18">
        <v>44497</v>
      </c>
      <c r="DK23" s="19">
        <v>0.29166666666666669</v>
      </c>
      <c r="DL23">
        <v>2.5000000000000001E-3</v>
      </c>
      <c r="DM23">
        <v>-2.4245362661989844E-14</v>
      </c>
      <c r="DN23">
        <v>0.114</v>
      </c>
      <c r="DP23" t="s">
        <v>119</v>
      </c>
      <c r="DQ23" s="18">
        <v>44502</v>
      </c>
      <c r="DR23" s="19">
        <v>0.67013888888888884</v>
      </c>
      <c r="DS23">
        <v>5.0299999999999997E-2</v>
      </c>
      <c r="DT23">
        <v>5.8000000000000003E-2</v>
      </c>
      <c r="DU23">
        <v>3.7999999999999999E-2</v>
      </c>
      <c r="DW23" t="s">
        <v>118</v>
      </c>
      <c r="DX23" s="18">
        <v>44539</v>
      </c>
      <c r="DY23" s="19">
        <v>0.67013888888888884</v>
      </c>
      <c r="DZ23">
        <v>0.95830000000000004</v>
      </c>
      <c r="EA23">
        <v>1.21</v>
      </c>
      <c r="EB23">
        <v>1.1120000000000001</v>
      </c>
      <c r="ED23" t="s">
        <v>117</v>
      </c>
      <c r="EE23" s="18">
        <v>44530</v>
      </c>
      <c r="EF23" s="19">
        <v>0.67013888888888884</v>
      </c>
      <c r="EG23">
        <v>0.26090000000000002</v>
      </c>
      <c r="EH23">
        <v>1.2784</v>
      </c>
      <c r="EI23">
        <v>0.92</v>
      </c>
      <c r="EK23" t="s">
        <v>120</v>
      </c>
      <c r="EL23" s="18">
        <v>44546</v>
      </c>
      <c r="EM23" s="19">
        <v>0.33680555555555558</v>
      </c>
      <c r="EN23">
        <v>2.577</v>
      </c>
      <c r="EO23">
        <v>3.2</v>
      </c>
      <c r="EP23">
        <v>3.1920000000000002</v>
      </c>
      <c r="ER23" t="s">
        <v>121</v>
      </c>
      <c r="ES23" s="18">
        <v>44496</v>
      </c>
      <c r="ET23" s="19">
        <v>0.67361111111111116</v>
      </c>
      <c r="EU23">
        <v>6.7400000000000002E-2</v>
      </c>
      <c r="EV23">
        <v>0.31</v>
      </c>
      <c r="EW23">
        <v>0.27700000000000002</v>
      </c>
      <c r="EY23" t="s">
        <v>121</v>
      </c>
      <c r="EZ23" s="18">
        <v>44495</v>
      </c>
      <c r="FA23" s="19">
        <v>0.2673611111111111</v>
      </c>
      <c r="FB23">
        <v>1.8086</v>
      </c>
      <c r="FC23">
        <v>1.94</v>
      </c>
      <c r="FD23">
        <v>1.946</v>
      </c>
      <c r="FF23" t="s">
        <v>120</v>
      </c>
      <c r="FG23" s="18">
        <v>44580</v>
      </c>
      <c r="FH23" s="19">
        <v>0.24652777777777779</v>
      </c>
      <c r="FI23">
        <v>4.26</v>
      </c>
      <c r="FJ23">
        <v>4.4800000000000004</v>
      </c>
      <c r="FK23">
        <v>4.2949999999999999</v>
      </c>
      <c r="FM23" t="s">
        <v>115</v>
      </c>
      <c r="FN23" s="18">
        <v>45030</v>
      </c>
      <c r="FO23" s="19">
        <v>0.28402777777777777</v>
      </c>
      <c r="FP23">
        <v>4.1874000000000002</v>
      </c>
      <c r="FQ23">
        <v>4.0999999999999996</v>
      </c>
      <c r="FR23">
        <v>3.379</v>
      </c>
      <c r="FT23" t="s">
        <v>119</v>
      </c>
      <c r="FU23" s="18">
        <v>44539</v>
      </c>
      <c r="FV23" s="19">
        <v>0.67708333333333337</v>
      </c>
      <c r="FW23">
        <v>3.1897000000000002</v>
      </c>
      <c r="FX23">
        <v>2.98</v>
      </c>
      <c r="FY23">
        <v>2.6179999999999999</v>
      </c>
      <c r="GA23" t="s">
        <v>121</v>
      </c>
      <c r="GB23" s="18">
        <v>44498</v>
      </c>
      <c r="GC23" s="19">
        <v>0.31319444444444444</v>
      </c>
      <c r="GD23">
        <v>1.57</v>
      </c>
      <c r="GE23">
        <v>1.58</v>
      </c>
      <c r="GF23">
        <v>1.5589999999999999</v>
      </c>
    </row>
    <row r="24" spans="1:188" x14ac:dyDescent="0.3">
      <c r="A24" t="s">
        <v>121</v>
      </c>
      <c r="B24">
        <v>44404</v>
      </c>
      <c r="C24" s="19">
        <v>0.6875</v>
      </c>
      <c r="D24">
        <v>1.3</v>
      </c>
      <c r="E24">
        <v>1.2957000000000001</v>
      </c>
      <c r="F24">
        <v>1.0129999999999999</v>
      </c>
      <c r="H24" t="s">
        <v>122</v>
      </c>
      <c r="I24" s="18">
        <v>44406</v>
      </c>
      <c r="J24" s="19">
        <v>0.66736111111111107</v>
      </c>
      <c r="K24">
        <v>0.76</v>
      </c>
      <c r="L24">
        <v>0.75600000000000001</v>
      </c>
      <c r="M24">
        <v>0.61499999999999999</v>
      </c>
      <c r="O24" t="s">
        <v>122</v>
      </c>
      <c r="P24" s="18">
        <v>44404</v>
      </c>
      <c r="Q24" s="19">
        <v>0.67569444444444449</v>
      </c>
      <c r="R24">
        <v>1.363</v>
      </c>
      <c r="S24">
        <v>1.363</v>
      </c>
      <c r="T24">
        <v>0.95599999999999996</v>
      </c>
      <c r="V24" t="s">
        <v>122</v>
      </c>
      <c r="W24" s="18">
        <v>44405</v>
      </c>
      <c r="X24" s="19">
        <v>0.67013888888888884</v>
      </c>
      <c r="Y24">
        <v>3.61</v>
      </c>
      <c r="Z24">
        <v>3.61</v>
      </c>
      <c r="AA24">
        <v>3.0179999999999998</v>
      </c>
      <c r="AC24" t="s">
        <v>120</v>
      </c>
      <c r="AD24" s="18">
        <v>44404</v>
      </c>
      <c r="AE24" s="19">
        <v>0.6694444444444444</v>
      </c>
      <c r="AF24">
        <v>2.1288</v>
      </c>
      <c r="AG24">
        <v>2.17</v>
      </c>
      <c r="AH24">
        <v>1.921</v>
      </c>
      <c r="AJ24" t="s">
        <v>121</v>
      </c>
      <c r="AK24" s="18">
        <v>44488</v>
      </c>
      <c r="AL24" s="19">
        <v>0.66666666666666663</v>
      </c>
      <c r="AM24">
        <v>0.31900000000000001</v>
      </c>
      <c r="AN24">
        <v>0.31900000000000001</v>
      </c>
      <c r="AO24">
        <v>0.25700000000000001</v>
      </c>
      <c r="AQ24" t="s">
        <v>118</v>
      </c>
      <c r="AR24" s="18">
        <v>44426</v>
      </c>
      <c r="AS24" s="19">
        <v>0.68055555555555558</v>
      </c>
      <c r="AT24">
        <v>0.1018</v>
      </c>
      <c r="AU24">
        <v>0.104</v>
      </c>
      <c r="AV24">
        <v>0.1</v>
      </c>
      <c r="AX24" t="s">
        <v>122</v>
      </c>
      <c r="AY24" s="18">
        <v>44420</v>
      </c>
      <c r="AZ24" s="19">
        <v>0.29166666666666669</v>
      </c>
      <c r="BA24">
        <v>-7.0000000000000007E-2</v>
      </c>
      <c r="BB24">
        <v>0.04</v>
      </c>
      <c r="BC24">
        <v>3.4000000000000002E-2</v>
      </c>
      <c r="BE24" t="s">
        <v>122</v>
      </c>
      <c r="BF24" s="18">
        <v>44403</v>
      </c>
      <c r="BG24" s="19">
        <v>0.67152777777777772</v>
      </c>
      <c r="BH24">
        <v>0.34539999999999998</v>
      </c>
      <c r="BI24">
        <v>0.48330000000000001</v>
      </c>
      <c r="BJ24">
        <v>0.32500000000000001</v>
      </c>
      <c r="BL24" t="s">
        <v>122</v>
      </c>
      <c r="BM24" s="18">
        <v>44392</v>
      </c>
      <c r="BN24" s="19">
        <v>0.58750000000000002</v>
      </c>
      <c r="BO24">
        <v>25.7348</v>
      </c>
      <c r="BP24">
        <v>25.9</v>
      </c>
      <c r="BQ24">
        <v>26.161000000000001</v>
      </c>
      <c r="BS24" t="s">
        <v>121</v>
      </c>
      <c r="BT24" s="18">
        <v>44441</v>
      </c>
      <c r="BU24" s="19">
        <v>0.67708333333333337</v>
      </c>
      <c r="BV24">
        <v>0.42930000000000001</v>
      </c>
      <c r="BW24">
        <v>0.69599999999999995</v>
      </c>
      <c r="BX24">
        <v>0.68500000000000005</v>
      </c>
      <c r="BZ24" t="s">
        <v>122</v>
      </c>
      <c r="CA24" s="18">
        <v>44404</v>
      </c>
      <c r="CB24" s="19">
        <v>0.67708333333333337</v>
      </c>
      <c r="CC24">
        <v>0.59299999999999997</v>
      </c>
      <c r="CD24">
        <v>0.68320000000000003</v>
      </c>
      <c r="CE24">
        <v>0.54</v>
      </c>
      <c r="CG24" t="s">
        <v>121</v>
      </c>
      <c r="CH24" s="18">
        <v>44377</v>
      </c>
      <c r="CI24" s="19">
        <v>0.67222222222222228</v>
      </c>
      <c r="CJ24">
        <v>1.7989999999999999</v>
      </c>
      <c r="CK24">
        <v>1.88</v>
      </c>
      <c r="CL24">
        <v>1.7210000000000001</v>
      </c>
      <c r="CN24" t="s">
        <v>122</v>
      </c>
      <c r="CO24" s="18">
        <v>44406</v>
      </c>
      <c r="CP24" s="19">
        <v>0.66736111111111107</v>
      </c>
      <c r="CQ24">
        <v>7.6200000000000004E-2</v>
      </c>
      <c r="CR24">
        <v>-2.9575999999999998</v>
      </c>
      <c r="CS24">
        <v>0.1</v>
      </c>
      <c r="CU24" t="s">
        <v>122</v>
      </c>
      <c r="CV24" s="18">
        <v>44418</v>
      </c>
      <c r="CW24" s="19">
        <v>0.66666666666666663</v>
      </c>
      <c r="CX24">
        <v>7.7606000000000002</v>
      </c>
      <c r="CY24">
        <v>7.7606000000000002</v>
      </c>
      <c r="CZ24">
        <v>2.48</v>
      </c>
      <c r="DB24" t="s">
        <v>122</v>
      </c>
      <c r="DC24" s="18">
        <v>44426</v>
      </c>
      <c r="DD24" s="19">
        <v>0.67013888888888884</v>
      </c>
      <c r="DE24">
        <v>-3.9056000000000002</v>
      </c>
      <c r="DF24">
        <v>-2.1092</v>
      </c>
      <c r="DG24">
        <v>-0.26</v>
      </c>
      <c r="DI24" t="s">
        <v>122</v>
      </c>
      <c r="DJ24" s="18">
        <v>44405</v>
      </c>
      <c r="DK24" s="19">
        <v>0.29166666666666669</v>
      </c>
      <c r="DL24">
        <v>0.15690000000000001</v>
      </c>
      <c r="DM24">
        <v>0.2233</v>
      </c>
      <c r="DN24">
        <v>9.7000000000000003E-2</v>
      </c>
      <c r="DP24" t="s">
        <v>120</v>
      </c>
      <c r="DQ24" s="18">
        <v>44418</v>
      </c>
      <c r="DR24" s="19">
        <v>0.67013888888888884</v>
      </c>
      <c r="DS24">
        <v>7.46E-2</v>
      </c>
      <c r="DT24">
        <v>8.1000000000000003E-2</v>
      </c>
      <c r="DU24">
        <v>7.8E-2</v>
      </c>
      <c r="DW24" t="s">
        <v>119</v>
      </c>
      <c r="DX24" s="18">
        <v>44452</v>
      </c>
      <c r="DY24" s="19">
        <v>0.67013888888888884</v>
      </c>
      <c r="DZ24">
        <v>0.87109999999999999</v>
      </c>
      <c r="EA24">
        <v>1.03</v>
      </c>
      <c r="EB24">
        <v>0.97</v>
      </c>
      <c r="ED24" t="s">
        <v>118</v>
      </c>
      <c r="EE24" s="18">
        <v>44433</v>
      </c>
      <c r="EF24" s="19">
        <v>0.67013888888888884</v>
      </c>
      <c r="EG24">
        <v>0.1226</v>
      </c>
      <c r="EH24">
        <v>1.48</v>
      </c>
      <c r="EI24">
        <v>0.92200000000000004</v>
      </c>
      <c r="EK24" t="s">
        <v>121</v>
      </c>
      <c r="EL24" s="18">
        <v>44460</v>
      </c>
      <c r="EM24" s="19">
        <v>0.67013888888888884</v>
      </c>
      <c r="EN24">
        <v>2.5019999999999998</v>
      </c>
      <c r="EO24">
        <v>3.11</v>
      </c>
      <c r="EP24">
        <v>3.0110000000000001</v>
      </c>
      <c r="ER24" t="s">
        <v>122</v>
      </c>
      <c r="ES24" s="18">
        <v>44405</v>
      </c>
      <c r="ET24" s="19">
        <v>0.67361111111111116</v>
      </c>
      <c r="EU24">
        <v>6.1699999999999998E-2</v>
      </c>
      <c r="EV24">
        <v>0.28399999999999997</v>
      </c>
      <c r="EW24">
        <v>0.24199999999999999</v>
      </c>
      <c r="EY24" t="s">
        <v>122</v>
      </c>
      <c r="EZ24" s="18">
        <v>44411</v>
      </c>
      <c r="FA24" s="19">
        <v>0.2673611111111111</v>
      </c>
      <c r="FB24">
        <v>1.9171</v>
      </c>
      <c r="FC24">
        <v>1.87</v>
      </c>
      <c r="FD24">
        <v>1.893</v>
      </c>
      <c r="FF24" t="s">
        <v>121</v>
      </c>
      <c r="FG24" s="18">
        <v>44483</v>
      </c>
      <c r="FH24" s="19">
        <v>0.24652777777777779</v>
      </c>
      <c r="FI24">
        <v>4.28</v>
      </c>
      <c r="FJ24">
        <v>4.5199999999999996</v>
      </c>
      <c r="FK24">
        <v>4.391</v>
      </c>
      <c r="FM24" t="s">
        <v>116</v>
      </c>
      <c r="FN24" s="18">
        <v>44939</v>
      </c>
      <c r="FO24" s="19">
        <v>0.28194444444444444</v>
      </c>
      <c r="FP24">
        <v>3.5939999999999999</v>
      </c>
      <c r="FQ24">
        <v>3.57</v>
      </c>
      <c r="FR24">
        <v>3.0960000000000001</v>
      </c>
      <c r="FT24" t="s">
        <v>120</v>
      </c>
      <c r="FU24" s="18">
        <v>44462</v>
      </c>
      <c r="FV24" s="19">
        <v>0.67708333333333337</v>
      </c>
      <c r="FW24">
        <v>3.9</v>
      </c>
      <c r="FX24">
        <v>3.76</v>
      </c>
      <c r="FY24">
        <v>3.5539999999999998</v>
      </c>
      <c r="GA24" t="s">
        <v>122</v>
      </c>
      <c r="GB24" s="18">
        <v>44407</v>
      </c>
      <c r="GC24" s="19">
        <v>0.3125</v>
      </c>
      <c r="GD24">
        <v>1.0995999999999999</v>
      </c>
      <c r="GE24">
        <v>1.1000000000000001</v>
      </c>
      <c r="GF24">
        <v>0.97199999999999998</v>
      </c>
    </row>
    <row r="25" spans="1:188" x14ac:dyDescent="0.3">
      <c r="A25" t="s">
        <v>122</v>
      </c>
      <c r="B25">
        <v>44314</v>
      </c>
      <c r="C25" s="19">
        <v>0.6875</v>
      </c>
      <c r="D25">
        <v>1.3955</v>
      </c>
      <c r="E25">
        <v>1.3957999999999999</v>
      </c>
      <c r="F25">
        <v>0.99099999999999999</v>
      </c>
      <c r="H25" t="s">
        <v>123</v>
      </c>
      <c r="I25" s="18">
        <v>44315</v>
      </c>
      <c r="J25" s="19">
        <v>0.66736111111111107</v>
      </c>
      <c r="K25">
        <v>0.78949999999999998</v>
      </c>
      <c r="L25">
        <v>0.78949999999999998</v>
      </c>
      <c r="M25">
        <v>0.48499999999999999</v>
      </c>
      <c r="O25" t="s">
        <v>123</v>
      </c>
      <c r="P25" s="18">
        <v>44313</v>
      </c>
      <c r="Q25" s="19">
        <v>0.66805555555555551</v>
      </c>
      <c r="R25">
        <v>1.3145</v>
      </c>
      <c r="S25">
        <v>1.3145</v>
      </c>
      <c r="T25">
        <v>0.78200000000000003</v>
      </c>
      <c r="V25" t="s">
        <v>123</v>
      </c>
      <c r="W25" s="18">
        <v>44314</v>
      </c>
      <c r="X25" s="19">
        <v>0.67013888888888884</v>
      </c>
      <c r="Y25">
        <v>3.3</v>
      </c>
      <c r="Z25">
        <v>3.3</v>
      </c>
      <c r="AA25">
        <v>2.343</v>
      </c>
      <c r="AC25" t="s">
        <v>121</v>
      </c>
      <c r="AD25" s="18">
        <v>44313</v>
      </c>
      <c r="AE25" s="19">
        <v>0.67083333333333328</v>
      </c>
      <c r="AF25">
        <v>1.9117</v>
      </c>
      <c r="AG25">
        <v>1.95</v>
      </c>
      <c r="AH25">
        <v>1.7809999999999999</v>
      </c>
      <c r="AJ25" t="s">
        <v>122</v>
      </c>
      <c r="AK25" s="18">
        <v>44397</v>
      </c>
      <c r="AL25" s="19">
        <v>0.66666666666666663</v>
      </c>
      <c r="AM25">
        <v>0.29699999999999999</v>
      </c>
      <c r="AN25">
        <v>0.29699999999999999</v>
      </c>
      <c r="AO25">
        <v>0.316</v>
      </c>
      <c r="AQ25" t="s">
        <v>119</v>
      </c>
      <c r="AR25" s="18">
        <v>44342</v>
      </c>
      <c r="AS25" s="19">
        <v>0.68055555555555558</v>
      </c>
      <c r="AT25">
        <v>8.1100000000000005E-2</v>
      </c>
      <c r="AU25">
        <v>9.1499999999999998E-2</v>
      </c>
      <c r="AV25">
        <v>8.2000000000000003E-2</v>
      </c>
      <c r="AX25" t="s">
        <v>123</v>
      </c>
      <c r="AY25" s="18">
        <v>44327</v>
      </c>
      <c r="AZ25" s="19">
        <v>0.29166666666666669</v>
      </c>
      <c r="BA25">
        <v>-7.0000000000000007E-2</v>
      </c>
      <c r="BB25">
        <v>0.04</v>
      </c>
      <c r="BC25">
        <v>3.5000000000000003E-2</v>
      </c>
      <c r="BE25" t="s">
        <v>123</v>
      </c>
      <c r="BF25" s="18">
        <v>44312</v>
      </c>
      <c r="BG25" s="19">
        <v>0.67013888888888884</v>
      </c>
      <c r="BH25">
        <v>0.1065</v>
      </c>
      <c r="BI25">
        <v>0.31</v>
      </c>
      <c r="BJ25">
        <v>0.26800000000000002</v>
      </c>
      <c r="BL25" t="s">
        <v>123</v>
      </c>
      <c r="BM25" s="18">
        <v>44301</v>
      </c>
      <c r="BO25">
        <v>27.492699999999999</v>
      </c>
      <c r="BP25">
        <v>26.95</v>
      </c>
      <c r="BQ25">
        <v>26.3</v>
      </c>
      <c r="BS25" t="s">
        <v>122</v>
      </c>
      <c r="BT25" s="18">
        <v>44350</v>
      </c>
      <c r="BU25" s="19">
        <v>0.67708333333333337</v>
      </c>
      <c r="BV25">
        <v>0.3538</v>
      </c>
      <c r="BW25">
        <v>0.66200000000000003</v>
      </c>
      <c r="BX25">
        <v>0.64500000000000002</v>
      </c>
      <c r="BZ25" t="s">
        <v>123</v>
      </c>
      <c r="CA25" s="18">
        <v>44313</v>
      </c>
      <c r="CB25" s="19">
        <v>0.67569444444444449</v>
      </c>
      <c r="CC25">
        <v>0.4657</v>
      </c>
      <c r="CD25">
        <v>0.52</v>
      </c>
      <c r="CE25">
        <v>0.442</v>
      </c>
      <c r="CG25" t="s">
        <v>122</v>
      </c>
      <c r="CH25" s="18">
        <v>44286</v>
      </c>
      <c r="CI25" s="19">
        <v>0.66736111111111107</v>
      </c>
      <c r="CJ25">
        <v>0.66990000000000005</v>
      </c>
      <c r="CK25">
        <v>0.98</v>
      </c>
      <c r="CL25">
        <v>0.93799999999999994</v>
      </c>
      <c r="CN25" t="s">
        <v>123</v>
      </c>
      <c r="CO25" s="18">
        <v>44315</v>
      </c>
      <c r="CP25" s="19">
        <v>0.66736111111111107</v>
      </c>
      <c r="CQ25">
        <v>9.7500000000000003E-2</v>
      </c>
      <c r="CR25">
        <v>-1.0605</v>
      </c>
      <c r="CS25">
        <v>8.2000000000000003E-2</v>
      </c>
      <c r="CU25" t="s">
        <v>123</v>
      </c>
      <c r="CV25" s="18">
        <v>44329</v>
      </c>
      <c r="CW25" s="19">
        <v>0.66666666666666663</v>
      </c>
      <c r="CX25">
        <v>7.4962999999999997</v>
      </c>
      <c r="CY25">
        <v>3.05</v>
      </c>
      <c r="CZ25">
        <v>3.101</v>
      </c>
      <c r="DI25" t="s">
        <v>123</v>
      </c>
      <c r="DJ25" s="18">
        <v>44314</v>
      </c>
      <c r="DL25">
        <v>0.13830000000000001</v>
      </c>
      <c r="DM25">
        <v>1.0485</v>
      </c>
      <c r="DN25">
        <v>7.8E-2</v>
      </c>
      <c r="DP25" t="s">
        <v>121</v>
      </c>
      <c r="DQ25" s="18">
        <v>44320</v>
      </c>
      <c r="DR25" s="19">
        <v>0.67013888888888884</v>
      </c>
      <c r="DS25">
        <v>4.0500000000000001E-2</v>
      </c>
      <c r="DT25">
        <v>0.05</v>
      </c>
      <c r="DU25">
        <v>4.7E-2</v>
      </c>
      <c r="DW25" t="s">
        <v>120</v>
      </c>
      <c r="DX25" s="18">
        <v>44362</v>
      </c>
      <c r="DY25" s="19">
        <v>0.67013888888888884</v>
      </c>
      <c r="DZ25">
        <v>1.3928</v>
      </c>
      <c r="EA25">
        <v>1.6901999999999999</v>
      </c>
      <c r="EB25">
        <v>1.31</v>
      </c>
      <c r="ED25" t="s">
        <v>119</v>
      </c>
      <c r="EE25" s="18">
        <v>44343</v>
      </c>
      <c r="EF25" s="19">
        <v>0.67013888888888884</v>
      </c>
      <c r="EG25">
        <v>0.25800000000000001</v>
      </c>
      <c r="EH25">
        <v>1.2163999999999999</v>
      </c>
      <c r="EI25">
        <v>0.88500000000000001</v>
      </c>
      <c r="EK25" t="s">
        <v>122</v>
      </c>
      <c r="EL25" s="18">
        <v>44364</v>
      </c>
      <c r="EM25" s="19">
        <v>0.67013888888888884</v>
      </c>
      <c r="EN25">
        <v>2.3037999999999998</v>
      </c>
      <c r="EO25">
        <v>3.03</v>
      </c>
      <c r="EP25">
        <v>2.82</v>
      </c>
      <c r="ER25" t="s">
        <v>123</v>
      </c>
      <c r="ES25" s="18">
        <v>44314</v>
      </c>
      <c r="ET25" s="19">
        <v>0.67638888888888893</v>
      </c>
      <c r="EU25">
        <v>8.5199999999999998E-2</v>
      </c>
      <c r="EV25">
        <v>0.30399999999999999</v>
      </c>
      <c r="EW25">
        <v>0.26900000000000002</v>
      </c>
      <c r="EY25" t="s">
        <v>123</v>
      </c>
      <c r="EZ25" s="18">
        <v>44313</v>
      </c>
      <c r="FA25" s="19">
        <v>0.2673611111111111</v>
      </c>
      <c r="FB25">
        <v>1.7634000000000001</v>
      </c>
      <c r="FC25">
        <v>1.87</v>
      </c>
      <c r="FD25">
        <v>2.113</v>
      </c>
      <c r="FF25" t="s">
        <v>122</v>
      </c>
      <c r="FG25" s="18">
        <v>44392</v>
      </c>
      <c r="FH25" s="19">
        <v>0.24652777777777779</v>
      </c>
      <c r="FI25">
        <v>4.46</v>
      </c>
      <c r="FJ25">
        <v>4.7</v>
      </c>
      <c r="FK25">
        <v>4.4290000000000003</v>
      </c>
      <c r="FM25" t="s">
        <v>117</v>
      </c>
      <c r="FN25" s="18">
        <v>44848</v>
      </c>
      <c r="FO25" s="19">
        <v>0.28611111111111109</v>
      </c>
      <c r="FP25">
        <v>3.1408</v>
      </c>
      <c r="FQ25">
        <v>3.12</v>
      </c>
      <c r="FR25">
        <v>2.8780000000000001</v>
      </c>
      <c r="FT25" t="s">
        <v>121</v>
      </c>
      <c r="FU25" s="18">
        <v>44343</v>
      </c>
      <c r="FV25" s="19">
        <v>0.67708333333333337</v>
      </c>
      <c r="FW25">
        <v>2.7928000000000002</v>
      </c>
      <c r="FX25">
        <v>2.75</v>
      </c>
      <c r="FY25">
        <v>2.4060000000000001</v>
      </c>
      <c r="GA25" t="s">
        <v>123</v>
      </c>
      <c r="GB25" s="18">
        <v>44316</v>
      </c>
      <c r="GC25" s="19">
        <v>0.31180555555555556</v>
      </c>
      <c r="GD25">
        <v>0.64629999999999999</v>
      </c>
      <c r="GE25">
        <v>0.65</v>
      </c>
      <c r="GF25">
        <v>0.61099999999999999</v>
      </c>
    </row>
    <row r="26" spans="1:188" x14ac:dyDescent="0.3">
      <c r="A26" t="s">
        <v>123</v>
      </c>
      <c r="B26">
        <v>44223</v>
      </c>
      <c r="C26" s="19">
        <v>0.6875</v>
      </c>
      <c r="D26">
        <v>1.6746000000000001</v>
      </c>
      <c r="E26">
        <v>1.6801999999999999</v>
      </c>
      <c r="F26">
        <v>1.417</v>
      </c>
      <c r="H26" t="s">
        <v>124</v>
      </c>
      <c r="I26" s="18">
        <v>44229</v>
      </c>
      <c r="J26" s="19">
        <v>0.66874999999999996</v>
      </c>
      <c r="K26">
        <v>0.70450000000000002</v>
      </c>
      <c r="L26">
        <v>0.70450000000000002</v>
      </c>
      <c r="M26">
        <v>0.36799999999999999</v>
      </c>
      <c r="O26" t="s">
        <v>124</v>
      </c>
      <c r="P26" s="18">
        <v>44229</v>
      </c>
      <c r="Q26" s="19">
        <v>0.66805555555555551</v>
      </c>
      <c r="R26">
        <v>1.115</v>
      </c>
      <c r="S26">
        <v>1.115</v>
      </c>
      <c r="T26">
        <v>0.78</v>
      </c>
      <c r="V26" t="s">
        <v>124</v>
      </c>
      <c r="W26" s="18">
        <v>44223</v>
      </c>
      <c r="X26" s="19">
        <v>0.67013888888888884</v>
      </c>
      <c r="Y26">
        <v>3.88</v>
      </c>
      <c r="Z26">
        <v>3.88</v>
      </c>
      <c r="AA26">
        <v>3.2170000000000001</v>
      </c>
      <c r="AC26" t="s">
        <v>122</v>
      </c>
      <c r="AD26" s="18">
        <v>44222</v>
      </c>
      <c r="AE26" s="19">
        <v>0.6694444444444444</v>
      </c>
      <c r="AF26">
        <v>1.9927999999999999</v>
      </c>
      <c r="AG26">
        <v>2.0303</v>
      </c>
      <c r="AH26">
        <v>1.625</v>
      </c>
      <c r="AJ26" t="s">
        <v>123</v>
      </c>
      <c r="AK26" s="18">
        <v>44306</v>
      </c>
      <c r="AL26" s="19">
        <v>0.66666666666666663</v>
      </c>
      <c r="AM26">
        <v>0.375</v>
      </c>
      <c r="AN26">
        <v>0.375</v>
      </c>
      <c r="AO26">
        <v>0.29899999999999999</v>
      </c>
      <c r="AQ26" t="s">
        <v>120</v>
      </c>
      <c r="AR26" s="18">
        <v>44251</v>
      </c>
      <c r="AS26" s="19">
        <v>0.68055555555555558</v>
      </c>
      <c r="AT26">
        <v>6.3100000000000003E-2</v>
      </c>
      <c r="AU26">
        <v>7.7499999999999999E-2</v>
      </c>
      <c r="AV26">
        <v>7.0000000000000007E-2</v>
      </c>
      <c r="AX26" t="s">
        <v>124</v>
      </c>
      <c r="AY26" s="18">
        <v>44243</v>
      </c>
      <c r="AZ26" s="19">
        <v>0.29166666666666669</v>
      </c>
      <c r="BA26">
        <v>-0.08</v>
      </c>
      <c r="BB26">
        <v>6.3700000000000007E-2</v>
      </c>
      <c r="BC26">
        <v>1.7999999999999999E-2</v>
      </c>
      <c r="BE26" t="s">
        <v>124</v>
      </c>
      <c r="BF26" s="18">
        <v>44223</v>
      </c>
      <c r="BG26" s="19">
        <v>0.67222222222222228</v>
      </c>
      <c r="BH26">
        <v>9.1700000000000004E-2</v>
      </c>
      <c r="BI26">
        <v>0.26669999999999999</v>
      </c>
      <c r="BJ26">
        <v>0.34200000000000003</v>
      </c>
      <c r="BL26" t="s">
        <v>256</v>
      </c>
      <c r="BM26" s="18">
        <v>44210</v>
      </c>
      <c r="BN26" s="19">
        <v>0.61111111111111116</v>
      </c>
      <c r="BO26">
        <v>98.373000000000005</v>
      </c>
      <c r="BP26">
        <v>99.85</v>
      </c>
      <c r="BQ26">
        <v>98.826999999999998</v>
      </c>
      <c r="BS26" t="s">
        <v>123</v>
      </c>
      <c r="BT26" s="18">
        <v>44259</v>
      </c>
      <c r="BU26" s="19">
        <v>0.67708333333333337</v>
      </c>
      <c r="BV26">
        <v>0.33900000000000002</v>
      </c>
      <c r="BW26">
        <v>0.66100000000000003</v>
      </c>
      <c r="BX26">
        <v>0.65700000000000003</v>
      </c>
      <c r="BZ26" t="s">
        <v>124</v>
      </c>
      <c r="CA26" s="18">
        <v>44222</v>
      </c>
      <c r="CB26" s="19">
        <v>0.67361111111111116</v>
      </c>
      <c r="CC26">
        <v>0.40820000000000001</v>
      </c>
      <c r="CD26">
        <v>0.52</v>
      </c>
      <c r="CE26">
        <v>0.47199999999999998</v>
      </c>
      <c r="CG26" t="s">
        <v>123</v>
      </c>
      <c r="CH26" s="18">
        <v>44203</v>
      </c>
      <c r="CI26" s="19">
        <v>0.66874999999999996</v>
      </c>
      <c r="CJ26">
        <v>0.72389999999999999</v>
      </c>
      <c r="CK26">
        <v>0.78</v>
      </c>
      <c r="CL26">
        <v>0.66</v>
      </c>
      <c r="CN26" t="s">
        <v>124</v>
      </c>
      <c r="CO26" s="18">
        <v>44224</v>
      </c>
      <c r="CP26" s="19">
        <v>0.66736111111111107</v>
      </c>
      <c r="CQ26">
        <v>0.1792</v>
      </c>
      <c r="CR26">
        <v>6.0100000000000001E-2</v>
      </c>
      <c r="CS26">
        <v>-2.4245362661989844E-14</v>
      </c>
      <c r="DI26" t="s">
        <v>124</v>
      </c>
      <c r="DJ26" s="18">
        <v>44244</v>
      </c>
      <c r="DK26" s="19">
        <v>0.29166666666666669</v>
      </c>
      <c r="DL26">
        <v>9.7699999999999995E-2</v>
      </c>
      <c r="DM26">
        <v>0.1585</v>
      </c>
      <c r="DN26">
        <v>0.121</v>
      </c>
      <c r="DP26" t="s">
        <v>122</v>
      </c>
      <c r="DQ26" s="18">
        <v>44229</v>
      </c>
      <c r="DR26" s="19">
        <v>0.69027777777777777</v>
      </c>
      <c r="DS26">
        <v>5.57E-2</v>
      </c>
      <c r="DT26">
        <v>6.3E-2</v>
      </c>
      <c r="DU26">
        <v>3.7999999999999999E-2</v>
      </c>
      <c r="DW26" t="s">
        <v>121</v>
      </c>
      <c r="DX26" s="18">
        <v>44265</v>
      </c>
      <c r="DY26" s="19">
        <v>0.67013888888888884</v>
      </c>
      <c r="DZ26">
        <v>0.9375</v>
      </c>
      <c r="EA26">
        <v>1.1599999999999999</v>
      </c>
      <c r="EB26">
        <v>1.1100000000000001</v>
      </c>
      <c r="ED26" t="s">
        <v>120</v>
      </c>
      <c r="EE26" s="18">
        <v>44252</v>
      </c>
      <c r="EF26" s="19">
        <v>0.67013888888888884</v>
      </c>
      <c r="EG26">
        <v>6.13E-2</v>
      </c>
      <c r="EH26">
        <v>1.04</v>
      </c>
      <c r="EI26">
        <v>0.749</v>
      </c>
      <c r="EK26" t="s">
        <v>123</v>
      </c>
      <c r="EL26" s="18">
        <v>44278</v>
      </c>
      <c r="EM26" s="19">
        <v>0.67013888888888884</v>
      </c>
      <c r="EN26">
        <v>2.6029</v>
      </c>
      <c r="EO26">
        <v>3.14</v>
      </c>
      <c r="EP26">
        <v>2.786</v>
      </c>
      <c r="ER26" t="s">
        <v>124</v>
      </c>
      <c r="ES26" s="18">
        <v>44223</v>
      </c>
      <c r="ET26" s="19">
        <v>0.67361111111111116</v>
      </c>
      <c r="EU26">
        <v>2.1700000000000001E-2</v>
      </c>
      <c r="EV26">
        <v>0.23400000000000001</v>
      </c>
      <c r="EW26">
        <v>0.21199999999999999</v>
      </c>
      <c r="EY26" t="s">
        <v>124</v>
      </c>
      <c r="EZ26" s="18">
        <v>44225</v>
      </c>
      <c r="FA26" s="19">
        <v>0.2638888888888889</v>
      </c>
      <c r="FB26">
        <v>2.6387999999999998</v>
      </c>
      <c r="FC26">
        <v>2.75</v>
      </c>
      <c r="FD26">
        <v>2.3820000000000001</v>
      </c>
      <c r="FF26" t="s">
        <v>123</v>
      </c>
      <c r="FG26" s="18">
        <v>44301</v>
      </c>
      <c r="FH26" s="19">
        <v>0.24652777777777779</v>
      </c>
      <c r="FI26">
        <v>5.08</v>
      </c>
      <c r="FJ26">
        <v>5.31</v>
      </c>
      <c r="FK26">
        <v>4.4000000000000004</v>
      </c>
      <c r="FM26" t="s">
        <v>118</v>
      </c>
      <c r="FN26" s="18">
        <v>44756</v>
      </c>
      <c r="FO26" s="19">
        <v>0.28194444444444444</v>
      </c>
      <c r="FP26">
        <v>2.8374999999999999</v>
      </c>
      <c r="FQ26">
        <v>2.76</v>
      </c>
      <c r="FR26">
        <v>2.883</v>
      </c>
      <c r="FT26" t="s">
        <v>122</v>
      </c>
      <c r="FU26" s="18">
        <v>44259</v>
      </c>
      <c r="FV26" s="19">
        <v>0.67708333333333337</v>
      </c>
      <c r="FW26">
        <v>2.14</v>
      </c>
      <c r="FX26">
        <v>2.14</v>
      </c>
      <c r="FY26">
        <v>2.4470000000000001</v>
      </c>
      <c r="GA26" t="s">
        <v>124</v>
      </c>
      <c r="GB26" s="18">
        <v>44229</v>
      </c>
      <c r="GC26" s="19">
        <v>0.3125</v>
      </c>
      <c r="GD26">
        <v>-0.11219999999999999</v>
      </c>
      <c r="GE26">
        <v>0.03</v>
      </c>
      <c r="GF26">
        <v>1.7000000000000001E-2</v>
      </c>
    </row>
    <row r="27" spans="1:188" x14ac:dyDescent="0.3">
      <c r="A27" t="s">
        <v>124</v>
      </c>
      <c r="B27">
        <v>44133</v>
      </c>
      <c r="C27" s="19">
        <v>0.6875</v>
      </c>
      <c r="D27">
        <v>0.7258</v>
      </c>
      <c r="E27">
        <v>0.73440000000000005</v>
      </c>
      <c r="F27">
        <v>0.70199999999999996</v>
      </c>
      <c r="H27" t="s">
        <v>125</v>
      </c>
      <c r="I27" s="18">
        <v>44133</v>
      </c>
      <c r="J27" s="19">
        <v>0.66736111111111107</v>
      </c>
      <c r="K27">
        <v>0.61850000000000005</v>
      </c>
      <c r="L27">
        <v>0.61850000000000005</v>
      </c>
      <c r="M27">
        <v>0.377</v>
      </c>
      <c r="O27" t="s">
        <v>125</v>
      </c>
      <c r="P27" s="18">
        <v>44133</v>
      </c>
      <c r="Q27" s="19">
        <v>0.66805555555555551</v>
      </c>
      <c r="R27">
        <v>0.82</v>
      </c>
      <c r="S27">
        <v>0.71850000000000003</v>
      </c>
      <c r="T27">
        <v>0.56999999999999995</v>
      </c>
      <c r="V27" t="s">
        <v>125</v>
      </c>
      <c r="W27" s="18">
        <v>44133</v>
      </c>
      <c r="X27" s="19">
        <v>0.67013888888888884</v>
      </c>
      <c r="Y27">
        <v>2.71</v>
      </c>
      <c r="Z27">
        <v>2.4</v>
      </c>
      <c r="AA27">
        <v>1.9059999999999999</v>
      </c>
      <c r="AC27" t="s">
        <v>123</v>
      </c>
      <c r="AD27" s="18">
        <v>44131</v>
      </c>
      <c r="AE27" s="19">
        <v>0.67569444444444449</v>
      </c>
      <c r="AF27">
        <v>1.8077000000000001</v>
      </c>
      <c r="AG27">
        <v>1.8191999999999999</v>
      </c>
      <c r="AH27">
        <v>1.546</v>
      </c>
      <c r="AJ27" t="s">
        <v>124</v>
      </c>
      <c r="AK27" s="18">
        <v>44215</v>
      </c>
      <c r="AL27" s="19">
        <v>0.66666666666666663</v>
      </c>
      <c r="AM27">
        <v>0.11899999999999999</v>
      </c>
      <c r="AN27">
        <v>0.11899999999999999</v>
      </c>
      <c r="AO27">
        <v>0.13900000000000001</v>
      </c>
      <c r="AQ27" t="s">
        <v>121</v>
      </c>
      <c r="AR27" s="18">
        <v>44153</v>
      </c>
      <c r="AS27" s="19">
        <v>0.68055555555555558</v>
      </c>
      <c r="AT27">
        <v>0.06</v>
      </c>
      <c r="AU27">
        <v>7.2800000000000004E-2</v>
      </c>
      <c r="AV27">
        <v>6.5000000000000002E-2</v>
      </c>
      <c r="AX27" t="s">
        <v>125</v>
      </c>
      <c r="AY27" s="18">
        <v>44147</v>
      </c>
      <c r="AZ27" s="19">
        <v>0.67013888888888884</v>
      </c>
      <c r="BA27">
        <v>-0.94</v>
      </c>
      <c r="BB27">
        <v>7.46E-2</v>
      </c>
      <c r="BC27">
        <v>3.4000000000000002E-2</v>
      </c>
      <c r="BE27" t="s">
        <v>125</v>
      </c>
      <c r="BF27" s="18">
        <v>44125</v>
      </c>
      <c r="BG27" s="19">
        <v>0.67708333333333337</v>
      </c>
      <c r="BH27">
        <v>0.113</v>
      </c>
      <c r="BI27">
        <v>0.25330000000000003</v>
      </c>
      <c r="BJ27">
        <v>0.183</v>
      </c>
      <c r="BL27" t="s">
        <v>125</v>
      </c>
      <c r="BM27" s="18">
        <v>44119</v>
      </c>
      <c r="BN27" s="19">
        <v>0.62152777777777779</v>
      </c>
      <c r="BO27">
        <v>25.549700000000001</v>
      </c>
      <c r="BP27">
        <v>26.5</v>
      </c>
      <c r="BQ27">
        <v>24.343</v>
      </c>
      <c r="BS27" t="s">
        <v>124</v>
      </c>
      <c r="BT27" s="18">
        <v>44175</v>
      </c>
      <c r="BU27" s="19">
        <v>0.67708333333333337</v>
      </c>
      <c r="BV27">
        <v>0.31159999999999999</v>
      </c>
      <c r="BW27">
        <v>0.63500000000000001</v>
      </c>
      <c r="BX27">
        <v>0.625</v>
      </c>
      <c r="BZ27" t="s">
        <v>125</v>
      </c>
      <c r="CA27" s="18">
        <v>44131</v>
      </c>
      <c r="CB27" s="19">
        <v>0.27083333333333331</v>
      </c>
      <c r="CC27">
        <v>0.34470000000000001</v>
      </c>
      <c r="CD27">
        <v>0.41</v>
      </c>
      <c r="CE27">
        <v>0.35399999999999998</v>
      </c>
      <c r="CG27" t="s">
        <v>124</v>
      </c>
      <c r="CH27" s="18">
        <v>44103</v>
      </c>
      <c r="CI27" s="19">
        <v>0.66736111111111107</v>
      </c>
      <c r="CJ27">
        <v>1.0187999999999999</v>
      </c>
      <c r="CK27">
        <v>1.08</v>
      </c>
      <c r="CL27">
        <v>0.995</v>
      </c>
      <c r="CN27" t="s">
        <v>125</v>
      </c>
      <c r="CO27" s="18">
        <v>44131</v>
      </c>
      <c r="CP27" s="19">
        <v>0.66736111111111107</v>
      </c>
      <c r="CQ27">
        <v>0.2155</v>
      </c>
      <c r="CR27">
        <v>-0.14799999999999999</v>
      </c>
      <c r="CS27">
        <v>-2.4245362661989844E-14</v>
      </c>
      <c r="DI27" t="s">
        <v>125</v>
      </c>
      <c r="DJ27" s="18">
        <v>44133</v>
      </c>
      <c r="DK27" s="19">
        <v>0.29166666666666669</v>
      </c>
      <c r="DL27">
        <v>5.0299999999999997E-2</v>
      </c>
      <c r="DM27">
        <v>0.113</v>
      </c>
      <c r="DN27">
        <v>5.0999999999999997E-2</v>
      </c>
      <c r="DP27" t="s">
        <v>123</v>
      </c>
      <c r="DQ27" s="18">
        <v>44138</v>
      </c>
      <c r="DR27" s="19">
        <v>0.67013888888888884</v>
      </c>
      <c r="DS27">
        <v>4.6100000000000002E-2</v>
      </c>
      <c r="DT27">
        <v>5.5E-2</v>
      </c>
      <c r="DU27">
        <v>1.2999999999999999E-2</v>
      </c>
      <c r="DW27" t="s">
        <v>122</v>
      </c>
      <c r="DX27" s="18">
        <v>44175</v>
      </c>
      <c r="DY27" s="19">
        <v>0.66805555555555551</v>
      </c>
      <c r="DZ27">
        <v>0.86399999999999999</v>
      </c>
      <c r="EA27">
        <v>1.06</v>
      </c>
      <c r="EB27">
        <v>0.999</v>
      </c>
      <c r="ED27" t="s">
        <v>121</v>
      </c>
      <c r="EE27" s="18">
        <v>44166</v>
      </c>
      <c r="EF27" s="19">
        <v>0.67083333333333328</v>
      </c>
      <c r="EG27">
        <v>0.27839999999999998</v>
      </c>
      <c r="EH27">
        <v>1.74</v>
      </c>
      <c r="EI27">
        <v>0.749</v>
      </c>
      <c r="EK27" t="s">
        <v>124</v>
      </c>
      <c r="EL27" s="18">
        <v>44175</v>
      </c>
      <c r="EM27" s="19">
        <v>0.33333333333333331</v>
      </c>
      <c r="EN27">
        <v>4.6746999999999996</v>
      </c>
      <c r="EO27">
        <v>2.81</v>
      </c>
      <c r="EP27">
        <v>2.6560000000000001</v>
      </c>
      <c r="ER27" t="s">
        <v>125</v>
      </c>
      <c r="ES27" s="18">
        <v>44132</v>
      </c>
      <c r="ET27" s="19">
        <v>0.67361111111111116</v>
      </c>
      <c r="EU27">
        <v>4.5400000000000003E-2</v>
      </c>
      <c r="EV27">
        <v>0.24199999999999999</v>
      </c>
      <c r="EW27">
        <v>0.20499999999999999</v>
      </c>
      <c r="EY27" t="s">
        <v>125</v>
      </c>
      <c r="EZ27" s="18">
        <v>44131</v>
      </c>
      <c r="FA27" s="19">
        <v>0.27083333333333331</v>
      </c>
      <c r="FB27">
        <v>1.3087</v>
      </c>
      <c r="FC27">
        <v>1.54</v>
      </c>
      <c r="FD27">
        <v>1.7450000000000001</v>
      </c>
      <c r="FF27" t="s">
        <v>124</v>
      </c>
      <c r="FG27" s="18">
        <v>44216</v>
      </c>
      <c r="FH27" s="19">
        <v>0.24652777777777779</v>
      </c>
      <c r="FI27">
        <v>2.2999999999999998</v>
      </c>
      <c r="FJ27">
        <v>2.52</v>
      </c>
      <c r="FK27">
        <v>2.4079999999999999</v>
      </c>
      <c r="FM27" t="s">
        <v>119</v>
      </c>
      <c r="FN27" s="18">
        <v>44664</v>
      </c>
      <c r="FO27" s="19">
        <v>0.29305555555555557</v>
      </c>
      <c r="FP27">
        <v>2.7915000000000001</v>
      </c>
      <c r="FQ27">
        <v>2.63</v>
      </c>
      <c r="FR27">
        <v>2.7210000000000001</v>
      </c>
      <c r="FT27" t="s">
        <v>123</v>
      </c>
      <c r="FU27" s="18">
        <v>44175</v>
      </c>
      <c r="FV27" s="19">
        <v>0.67708333333333337</v>
      </c>
      <c r="FW27">
        <v>2.62</v>
      </c>
      <c r="FX27">
        <v>2.62</v>
      </c>
      <c r="FY27">
        <v>2.06</v>
      </c>
      <c r="GA27" t="s">
        <v>125</v>
      </c>
      <c r="GB27" s="18">
        <v>44134</v>
      </c>
      <c r="GC27" s="19">
        <v>0.31180555555555556</v>
      </c>
      <c r="GD27">
        <v>-0.14799999999999999</v>
      </c>
      <c r="GE27">
        <v>-0.18</v>
      </c>
      <c r="GF27">
        <v>-0.255</v>
      </c>
    </row>
    <row r="28" spans="1:188" x14ac:dyDescent="0.3">
      <c r="A28" t="s">
        <v>125</v>
      </c>
      <c r="B28">
        <v>44042</v>
      </c>
      <c r="C28" s="19">
        <v>0.6875</v>
      </c>
      <c r="D28">
        <v>0.64439999999999997</v>
      </c>
      <c r="E28">
        <v>0.64600000000000002</v>
      </c>
      <c r="F28">
        <v>0.51800000000000002</v>
      </c>
      <c r="H28" t="s">
        <v>126</v>
      </c>
      <c r="I28" s="18">
        <v>44042</v>
      </c>
      <c r="J28" s="19">
        <v>0.67222222222222228</v>
      </c>
      <c r="K28">
        <v>0.51500000000000001</v>
      </c>
      <c r="L28">
        <v>0.51500000000000001</v>
      </c>
      <c r="M28">
        <v>7.4999999999999997E-2</v>
      </c>
      <c r="O28" t="s">
        <v>126</v>
      </c>
      <c r="P28" s="18">
        <v>44042</v>
      </c>
      <c r="Q28" s="19">
        <v>0.67708333333333337</v>
      </c>
      <c r="R28">
        <v>0.50649999999999995</v>
      </c>
      <c r="S28">
        <v>0.42699999999999999</v>
      </c>
      <c r="T28">
        <v>0.41299999999999998</v>
      </c>
      <c r="V28" t="s">
        <v>126</v>
      </c>
      <c r="W28" s="18">
        <v>44042</v>
      </c>
      <c r="X28" s="19">
        <v>0.67013888888888884</v>
      </c>
      <c r="Y28">
        <v>1.8</v>
      </c>
      <c r="Z28">
        <v>1.8</v>
      </c>
      <c r="AA28">
        <v>1.401</v>
      </c>
      <c r="AC28" t="s">
        <v>124</v>
      </c>
      <c r="AD28" s="18">
        <v>44034</v>
      </c>
      <c r="AE28" s="19">
        <v>0.66874999999999996</v>
      </c>
      <c r="AF28">
        <v>1.5206999999999999</v>
      </c>
      <c r="AG28">
        <v>1.46</v>
      </c>
      <c r="AH28">
        <v>1.363</v>
      </c>
      <c r="AJ28" t="s">
        <v>125</v>
      </c>
      <c r="AK28" s="18">
        <v>44124</v>
      </c>
      <c r="AL28" s="19">
        <v>0.66666666666666663</v>
      </c>
      <c r="AM28">
        <v>0.17399999999999999</v>
      </c>
      <c r="AN28">
        <v>0.17399999999999999</v>
      </c>
      <c r="AO28">
        <v>0.21299999999999999</v>
      </c>
      <c r="AQ28" t="s">
        <v>122</v>
      </c>
      <c r="AR28" s="18">
        <v>44062</v>
      </c>
      <c r="AS28" s="19">
        <v>0.68055555555555558</v>
      </c>
      <c r="AT28">
        <v>4.9700000000000001E-2</v>
      </c>
      <c r="AU28">
        <v>5.45E-2</v>
      </c>
      <c r="AV28">
        <v>4.9000000000000002E-2</v>
      </c>
      <c r="BE28" t="s">
        <v>126</v>
      </c>
      <c r="BF28" s="18">
        <v>44034</v>
      </c>
      <c r="BG28" s="19">
        <v>0.68541666666666667</v>
      </c>
      <c r="BH28">
        <v>3.4599999999999999E-2</v>
      </c>
      <c r="BI28">
        <v>0.14530000000000001</v>
      </c>
      <c r="BJ28">
        <v>-2E-3</v>
      </c>
      <c r="BL28" t="s">
        <v>126</v>
      </c>
      <c r="BM28" s="18">
        <v>44028</v>
      </c>
      <c r="BN28" s="19">
        <v>0.63124999999999998</v>
      </c>
      <c r="BO28">
        <v>23.400400000000001</v>
      </c>
      <c r="BP28">
        <v>23.2974</v>
      </c>
      <c r="BQ28">
        <v>21.398</v>
      </c>
      <c r="BS28" t="s">
        <v>125</v>
      </c>
      <c r="BT28" s="18">
        <v>44077</v>
      </c>
      <c r="BU28" s="19">
        <v>0.67708333333333337</v>
      </c>
      <c r="BV28">
        <v>0.1757</v>
      </c>
      <c r="BW28">
        <v>0.54</v>
      </c>
      <c r="BX28">
        <v>0.52100000000000002</v>
      </c>
      <c r="BZ28" t="s">
        <v>126</v>
      </c>
      <c r="CA28" s="18">
        <v>44040</v>
      </c>
      <c r="CB28" s="19">
        <v>0.67708333333333337</v>
      </c>
      <c r="CC28">
        <v>0.13519999999999999</v>
      </c>
      <c r="CD28">
        <v>0.18</v>
      </c>
      <c r="CE28">
        <v>0.16300000000000001</v>
      </c>
      <c r="CG28" t="s">
        <v>125</v>
      </c>
      <c r="CH28" s="18">
        <v>44011</v>
      </c>
      <c r="CI28" s="19">
        <v>0.66805555555555551</v>
      </c>
      <c r="CJ28">
        <v>0.76759999999999995</v>
      </c>
      <c r="CK28">
        <v>0.82</v>
      </c>
      <c r="CL28">
        <v>0.76900000000000002</v>
      </c>
      <c r="CN28" t="s">
        <v>126</v>
      </c>
      <c r="CO28" s="18">
        <v>44040</v>
      </c>
      <c r="CP28" s="19">
        <v>0.66736111111111107</v>
      </c>
      <c r="CQ28">
        <v>3.5000000000000003E-2</v>
      </c>
      <c r="CR28">
        <v>3.4799999999999998E-2</v>
      </c>
      <c r="CS28">
        <v>-2.4245362661989844E-14</v>
      </c>
      <c r="DI28" t="s">
        <v>126</v>
      </c>
      <c r="DJ28" s="18">
        <v>44041</v>
      </c>
      <c r="DK28" s="19">
        <v>0.29166666666666669</v>
      </c>
      <c r="DL28">
        <v>5.0200000000000002E-2</v>
      </c>
      <c r="DM28">
        <v>0.105</v>
      </c>
      <c r="DN28">
        <v>3.0000000000000001E-3</v>
      </c>
      <c r="DP28" t="s">
        <v>124</v>
      </c>
      <c r="DQ28" s="18">
        <v>44054</v>
      </c>
      <c r="DR28" s="19">
        <v>0.67013888888888884</v>
      </c>
      <c r="DS28">
        <v>6.0900000000000003E-2</v>
      </c>
      <c r="DT28">
        <v>6.8000000000000005E-2</v>
      </c>
      <c r="DU28">
        <v>5.0999999999999997E-2</v>
      </c>
      <c r="DW28" t="s">
        <v>123</v>
      </c>
      <c r="DX28" s="18">
        <v>44084</v>
      </c>
      <c r="DY28" s="19">
        <v>0.66666666666666663</v>
      </c>
      <c r="DZ28">
        <v>0.76049999999999995</v>
      </c>
      <c r="EA28">
        <v>1.0678000000000001</v>
      </c>
      <c r="EB28">
        <v>0.86099999999999999</v>
      </c>
      <c r="ED28" t="s">
        <v>122</v>
      </c>
      <c r="EE28" s="18">
        <v>44068</v>
      </c>
      <c r="EF28" s="19">
        <v>0.67013888888888884</v>
      </c>
      <c r="EG28">
        <v>9.4500000000000001E-2</v>
      </c>
      <c r="EH28">
        <v>1.44</v>
      </c>
      <c r="EI28">
        <v>0.66800000000000004</v>
      </c>
      <c r="EK28" t="s">
        <v>125</v>
      </c>
      <c r="EL28" s="18">
        <v>44089</v>
      </c>
      <c r="EM28" s="19">
        <v>0.67013888888888884</v>
      </c>
      <c r="EN28">
        <v>1.9368000000000001</v>
      </c>
      <c r="EO28">
        <v>2.57</v>
      </c>
      <c r="EP28">
        <v>2.41</v>
      </c>
      <c r="ER28" t="s">
        <v>126</v>
      </c>
      <c r="ES28" s="18">
        <v>44041</v>
      </c>
      <c r="ET28" s="19">
        <v>0.67361111111111116</v>
      </c>
      <c r="EU28">
        <v>4.1700000000000001E-2</v>
      </c>
      <c r="EV28">
        <v>0.246</v>
      </c>
      <c r="EW28">
        <v>0.20200000000000001</v>
      </c>
      <c r="EY28" t="s">
        <v>126</v>
      </c>
      <c r="EZ28" s="18">
        <v>44042</v>
      </c>
      <c r="FA28" s="19">
        <v>0.2673611111111111</v>
      </c>
      <c r="FB28">
        <v>1.8</v>
      </c>
      <c r="FC28">
        <v>1.89</v>
      </c>
      <c r="FD28">
        <v>1.61</v>
      </c>
      <c r="FF28" t="s">
        <v>125</v>
      </c>
      <c r="FG28" s="18">
        <v>44118</v>
      </c>
      <c r="FH28" s="19">
        <v>0.24652777777777779</v>
      </c>
      <c r="FI28">
        <v>3.3</v>
      </c>
      <c r="FJ28">
        <v>3.51</v>
      </c>
      <c r="FK28">
        <v>3.101</v>
      </c>
      <c r="FM28" t="s">
        <v>120</v>
      </c>
      <c r="FN28" s="18">
        <v>44575</v>
      </c>
      <c r="FO28" s="19">
        <v>0.2951388888888889</v>
      </c>
      <c r="FP28">
        <v>3.3662999999999998</v>
      </c>
      <c r="FQ28">
        <v>3.33</v>
      </c>
      <c r="FR28">
        <v>2.99</v>
      </c>
      <c r="FT28" t="s">
        <v>124</v>
      </c>
      <c r="FU28" s="18">
        <v>44098</v>
      </c>
      <c r="FV28" s="19">
        <v>0.67708333333333337</v>
      </c>
      <c r="FW28">
        <v>3.13</v>
      </c>
      <c r="FX28">
        <v>3.13</v>
      </c>
      <c r="FY28">
        <v>2.847</v>
      </c>
      <c r="GA28" t="s">
        <v>126</v>
      </c>
      <c r="GB28" s="18">
        <v>44043</v>
      </c>
      <c r="GC28" s="19">
        <v>0.31736111111111109</v>
      </c>
      <c r="GD28">
        <v>-0.26</v>
      </c>
      <c r="GE28">
        <v>-0.7</v>
      </c>
      <c r="GF28">
        <v>-0.55200000000000005</v>
      </c>
    </row>
    <row r="29" spans="1:188" x14ac:dyDescent="0.3">
      <c r="A29" t="s">
        <v>126</v>
      </c>
      <c r="B29">
        <v>43951</v>
      </c>
      <c r="C29" s="19">
        <v>0.6875</v>
      </c>
      <c r="D29">
        <v>0.64170000000000005</v>
      </c>
      <c r="E29">
        <v>0.63849999999999996</v>
      </c>
      <c r="F29">
        <v>0.56399999999999995</v>
      </c>
      <c r="H29" t="s">
        <v>127</v>
      </c>
      <c r="I29" s="18">
        <v>43951</v>
      </c>
      <c r="J29" s="19">
        <v>0.66736111111111107</v>
      </c>
      <c r="K29">
        <v>0.2505</v>
      </c>
      <c r="L29">
        <v>0.2505</v>
      </c>
      <c r="M29">
        <v>0.314</v>
      </c>
      <c r="O29" t="s">
        <v>127</v>
      </c>
      <c r="P29" s="18">
        <v>43949</v>
      </c>
      <c r="Q29" s="19">
        <v>0.66874999999999996</v>
      </c>
      <c r="R29">
        <v>0.49349999999999999</v>
      </c>
      <c r="S29">
        <v>0.53949999999999998</v>
      </c>
      <c r="T29">
        <v>0.51800000000000002</v>
      </c>
      <c r="V29" t="s">
        <v>127</v>
      </c>
      <c r="W29" s="18">
        <v>43950</v>
      </c>
      <c r="X29" s="19">
        <v>0.67013888888888884</v>
      </c>
      <c r="Y29">
        <v>1.71</v>
      </c>
      <c r="Z29">
        <v>1.71</v>
      </c>
      <c r="AA29">
        <v>1.712</v>
      </c>
      <c r="AC29" t="s">
        <v>125</v>
      </c>
      <c r="AD29" s="18">
        <v>43950</v>
      </c>
      <c r="AE29" s="19">
        <v>0.67152777777777772</v>
      </c>
      <c r="AF29">
        <v>1.4104000000000001</v>
      </c>
      <c r="AG29">
        <v>1.4009</v>
      </c>
      <c r="AH29">
        <v>1.276</v>
      </c>
      <c r="AJ29" t="s">
        <v>126</v>
      </c>
      <c r="AK29" s="18">
        <v>44028</v>
      </c>
      <c r="AL29" s="19">
        <v>0.66666666666666663</v>
      </c>
      <c r="AM29">
        <v>0.159</v>
      </c>
      <c r="AN29">
        <v>0.159</v>
      </c>
      <c r="AO29">
        <v>0.18099999999999999</v>
      </c>
      <c r="AQ29" t="s">
        <v>123</v>
      </c>
      <c r="AR29" s="18">
        <v>43972</v>
      </c>
      <c r="AS29" s="19">
        <v>0.68055555555555558</v>
      </c>
      <c r="AT29">
        <v>3.7100000000000001E-2</v>
      </c>
      <c r="AU29">
        <v>4.4999999999999998E-2</v>
      </c>
      <c r="AV29">
        <v>4.2000000000000003E-2</v>
      </c>
      <c r="BE29" t="s">
        <v>127</v>
      </c>
      <c r="BF29" s="18">
        <v>43950</v>
      </c>
      <c r="BG29" s="19">
        <v>0.6743055555555556</v>
      </c>
      <c r="BH29">
        <v>7.1999999999999998E-3</v>
      </c>
      <c r="BI29">
        <v>7.5999999999999998E-2</v>
      </c>
      <c r="BJ29">
        <v>-2.5000000000000001E-2</v>
      </c>
      <c r="BL29" t="s">
        <v>127</v>
      </c>
      <c r="BM29" s="18">
        <v>43936</v>
      </c>
      <c r="BN29" s="19">
        <v>0.7993055555555556</v>
      </c>
      <c r="BO29">
        <v>22.544499999999999</v>
      </c>
      <c r="BP29">
        <v>22.55</v>
      </c>
      <c r="BQ29">
        <v>20.956</v>
      </c>
      <c r="BS29" t="s">
        <v>126</v>
      </c>
      <c r="BT29" s="18">
        <v>43986</v>
      </c>
      <c r="BU29" s="19">
        <v>0.67708333333333337</v>
      </c>
      <c r="BV29">
        <v>0.12570000000000001</v>
      </c>
      <c r="BW29">
        <v>0.51400000000000001</v>
      </c>
      <c r="BX29">
        <v>0.51500000000000001</v>
      </c>
      <c r="BZ29" t="s">
        <v>127</v>
      </c>
      <c r="CA29" s="18">
        <v>43949</v>
      </c>
      <c r="CB29" s="19">
        <v>0.68402777777777779</v>
      </c>
      <c r="CC29">
        <v>0.15060000000000001</v>
      </c>
      <c r="CD29">
        <v>0.18</v>
      </c>
      <c r="CE29">
        <v>0.17799999999999999</v>
      </c>
      <c r="CG29" t="s">
        <v>126</v>
      </c>
      <c r="CH29" s="18">
        <v>43915</v>
      </c>
      <c r="CI29" s="19">
        <v>0.66736111111111107</v>
      </c>
      <c r="CJ29">
        <v>0.38579999999999998</v>
      </c>
      <c r="CK29">
        <v>0.45</v>
      </c>
      <c r="CL29">
        <v>0.36399999999999999</v>
      </c>
      <c r="CN29" t="s">
        <v>127</v>
      </c>
      <c r="CO29" s="18">
        <v>43949</v>
      </c>
      <c r="CP29" s="19">
        <v>0.66736111111111107</v>
      </c>
      <c r="CQ29">
        <v>7.0000000000000001E-3</v>
      </c>
      <c r="CR29">
        <v>3.1099999999999999E-2</v>
      </c>
      <c r="CS29">
        <v>-2.4245362661989844E-14</v>
      </c>
      <c r="DI29" t="s">
        <v>127</v>
      </c>
      <c r="DJ29" s="18">
        <v>43957</v>
      </c>
      <c r="DK29" s="19">
        <v>0.29166666666666669</v>
      </c>
      <c r="DL29">
        <v>-2.7E-2</v>
      </c>
      <c r="DM29">
        <v>1.9E-2</v>
      </c>
      <c r="DN29">
        <v>-1.9E-2</v>
      </c>
      <c r="DP29" t="s">
        <v>125</v>
      </c>
      <c r="DQ29" s="18">
        <v>43958</v>
      </c>
      <c r="DR29" s="19">
        <v>0.67222222222222228</v>
      </c>
      <c r="DS29">
        <v>2.9000000000000001E-2</v>
      </c>
      <c r="DT29">
        <v>8.4000000000000005E-2</v>
      </c>
      <c r="DU29">
        <v>3.5000000000000003E-2</v>
      </c>
      <c r="DW29" t="s">
        <v>124</v>
      </c>
      <c r="DX29" s="18">
        <v>43998</v>
      </c>
      <c r="DY29" s="19">
        <v>0.66805555555555551</v>
      </c>
      <c r="DZ29">
        <v>1.0101</v>
      </c>
      <c r="EA29">
        <v>1.3171999999999999</v>
      </c>
      <c r="EB29">
        <v>1.1519999999999999</v>
      </c>
      <c r="ED29" t="s">
        <v>123</v>
      </c>
      <c r="EE29" s="18">
        <v>43979</v>
      </c>
      <c r="EF29" s="19">
        <v>0.67013888888888884</v>
      </c>
      <c r="EG29">
        <v>-5.79E-2</v>
      </c>
      <c r="EH29">
        <v>0.7</v>
      </c>
      <c r="EI29">
        <v>0.69399999999999995</v>
      </c>
      <c r="EK29" t="s">
        <v>126</v>
      </c>
      <c r="EL29" s="18">
        <v>43993</v>
      </c>
      <c r="EM29" s="19">
        <v>0.67013888888888884</v>
      </c>
      <c r="EN29">
        <v>2.2684000000000002</v>
      </c>
      <c r="EO29">
        <v>2.4500000000000002</v>
      </c>
      <c r="EP29">
        <v>2.3370000000000002</v>
      </c>
      <c r="ER29" t="s">
        <v>127</v>
      </c>
      <c r="ES29" s="18">
        <v>43950</v>
      </c>
      <c r="ET29" s="19">
        <v>0.67361111111111116</v>
      </c>
      <c r="EU29">
        <v>5.0200000000000002E-2</v>
      </c>
      <c r="EV29">
        <v>0.21</v>
      </c>
      <c r="EW29">
        <v>0.191</v>
      </c>
      <c r="EY29" t="s">
        <v>127</v>
      </c>
      <c r="EZ29" s="18">
        <v>43944</v>
      </c>
      <c r="FA29" s="19">
        <v>0.2673611111111111</v>
      </c>
      <c r="FB29">
        <v>1.7088000000000001</v>
      </c>
      <c r="FC29">
        <v>1.75</v>
      </c>
      <c r="FD29">
        <v>1.5109999999999999</v>
      </c>
      <c r="FF29" t="s">
        <v>126</v>
      </c>
      <c r="FG29" s="18">
        <v>44027</v>
      </c>
      <c r="FH29" s="19">
        <v>0.24652777777777779</v>
      </c>
      <c r="FI29">
        <v>6.91</v>
      </c>
      <c r="FJ29">
        <v>7.12</v>
      </c>
      <c r="FK29">
        <v>5.2539999999999996</v>
      </c>
      <c r="FM29" t="s">
        <v>121</v>
      </c>
      <c r="FN29" s="18">
        <v>44482</v>
      </c>
      <c r="FO29" s="19">
        <v>0.28611111111111109</v>
      </c>
      <c r="FP29">
        <v>3.76</v>
      </c>
      <c r="FQ29">
        <v>3.74</v>
      </c>
      <c r="FR29">
        <v>2.972</v>
      </c>
      <c r="FT29" t="s">
        <v>125</v>
      </c>
      <c r="FU29" s="18">
        <v>43979</v>
      </c>
      <c r="FV29" s="19">
        <v>0.67708333333333337</v>
      </c>
      <c r="FW29">
        <v>1.89</v>
      </c>
      <c r="FX29">
        <v>1.89</v>
      </c>
      <c r="FY29">
        <v>1.915</v>
      </c>
      <c r="GA29" t="s">
        <v>127</v>
      </c>
      <c r="GB29" s="18">
        <v>43952</v>
      </c>
      <c r="GC29" s="19">
        <v>0.31527777777777777</v>
      </c>
      <c r="GD29">
        <v>-0.14000000000000001</v>
      </c>
      <c r="GE29">
        <v>0.53</v>
      </c>
      <c r="GF29">
        <v>4.0000000000000001E-3</v>
      </c>
    </row>
    <row r="30" spans="1:188" x14ac:dyDescent="0.3">
      <c r="A30" t="s">
        <v>127</v>
      </c>
      <c r="B30">
        <v>43858</v>
      </c>
      <c r="C30" s="19">
        <v>0.6875</v>
      </c>
      <c r="D30">
        <v>1.2473000000000001</v>
      </c>
      <c r="E30">
        <v>1.2475000000000001</v>
      </c>
      <c r="F30">
        <v>1.1419999999999999</v>
      </c>
      <c r="H30" t="s">
        <v>128</v>
      </c>
      <c r="I30" s="18">
        <v>43860</v>
      </c>
      <c r="J30" s="19">
        <v>0.66736111111111107</v>
      </c>
      <c r="K30">
        <v>0.32350000000000001</v>
      </c>
      <c r="L30">
        <v>0.32350000000000001</v>
      </c>
      <c r="M30">
        <v>0.20499999999999999</v>
      </c>
      <c r="O30" t="s">
        <v>128</v>
      </c>
      <c r="P30" s="18">
        <v>43864</v>
      </c>
      <c r="Q30" s="19">
        <v>0.66805555555555551</v>
      </c>
      <c r="R30">
        <v>0.76749999999999996</v>
      </c>
      <c r="S30">
        <v>0.74450000000000005</v>
      </c>
      <c r="T30">
        <v>0.625</v>
      </c>
      <c r="V30" t="s">
        <v>128</v>
      </c>
      <c r="W30" s="18">
        <v>43859</v>
      </c>
      <c r="X30" s="19">
        <v>0.67013888888888884</v>
      </c>
      <c r="Y30">
        <v>2.56</v>
      </c>
      <c r="Z30">
        <v>2.56</v>
      </c>
      <c r="AA30">
        <v>2.5259999999999998</v>
      </c>
      <c r="AC30" t="s">
        <v>126</v>
      </c>
      <c r="AD30" s="18">
        <v>43859</v>
      </c>
      <c r="AE30" s="19">
        <v>0.6694444444444444</v>
      </c>
      <c r="AF30">
        <v>1.4934000000000001</v>
      </c>
      <c r="AG30">
        <v>1.51</v>
      </c>
      <c r="AH30">
        <v>1.3220000000000001</v>
      </c>
      <c r="AJ30" t="s">
        <v>127</v>
      </c>
      <c r="AK30" s="18">
        <v>43942</v>
      </c>
      <c r="AL30" s="19">
        <v>0.66874999999999996</v>
      </c>
      <c r="AM30">
        <v>0.157</v>
      </c>
      <c r="AN30">
        <v>0.157</v>
      </c>
      <c r="AO30">
        <v>0.16500000000000001</v>
      </c>
      <c r="AQ30" t="s">
        <v>124</v>
      </c>
      <c r="AR30" s="18">
        <v>43874</v>
      </c>
      <c r="AS30" s="19">
        <v>0.68055555555555558</v>
      </c>
      <c r="AT30">
        <v>3.9199999999999999E-2</v>
      </c>
      <c r="AU30">
        <v>4.7300000000000002E-2</v>
      </c>
      <c r="AV30">
        <v>4.2000000000000003E-2</v>
      </c>
      <c r="BE30" t="s">
        <v>128</v>
      </c>
      <c r="BF30" s="18">
        <v>43859</v>
      </c>
      <c r="BG30" s="19">
        <v>0.67847222222222225</v>
      </c>
      <c r="BH30">
        <v>5.5599999999999997E-2</v>
      </c>
      <c r="BI30">
        <v>0.14269999999999999</v>
      </c>
      <c r="BJ30">
        <v>0.12</v>
      </c>
      <c r="BL30" t="s">
        <v>257</v>
      </c>
      <c r="BM30" s="18">
        <v>43846</v>
      </c>
      <c r="BN30" s="19">
        <v>0.56805555555555554</v>
      </c>
      <c r="BO30">
        <v>66.957300000000004</v>
      </c>
      <c r="BP30">
        <v>66.599999999999994</v>
      </c>
      <c r="BQ30">
        <v>65.790999999999997</v>
      </c>
      <c r="BS30" t="s">
        <v>127</v>
      </c>
      <c r="BT30" s="18">
        <v>43902</v>
      </c>
      <c r="BU30" s="19">
        <v>0.67708333333333337</v>
      </c>
      <c r="BV30">
        <v>0.1285</v>
      </c>
      <c r="BW30">
        <v>0.52500000000000002</v>
      </c>
      <c r="BX30">
        <v>0.53400000000000003</v>
      </c>
      <c r="BZ30" t="s">
        <v>128</v>
      </c>
      <c r="CA30" s="18">
        <v>43858</v>
      </c>
      <c r="CB30" s="19">
        <v>0.67708333333333337</v>
      </c>
      <c r="CC30">
        <v>0.2351</v>
      </c>
      <c r="CD30">
        <v>0.32</v>
      </c>
      <c r="CE30">
        <v>0.30299999999999999</v>
      </c>
      <c r="CG30" t="s">
        <v>127</v>
      </c>
      <c r="CH30" s="18">
        <v>43817</v>
      </c>
      <c r="CI30" s="19">
        <v>0.66736111111111107</v>
      </c>
      <c r="CJ30">
        <v>0.42199999999999999</v>
      </c>
      <c r="CK30">
        <v>0.48</v>
      </c>
      <c r="CL30">
        <v>0.47199999999999998</v>
      </c>
      <c r="CN30" t="s">
        <v>128</v>
      </c>
      <c r="CO30" s="18">
        <v>43858</v>
      </c>
      <c r="CP30" s="19">
        <v>0.66736111111111107</v>
      </c>
      <c r="CQ30">
        <v>0.11799999999999999</v>
      </c>
      <c r="CR30">
        <v>0.1181</v>
      </c>
      <c r="CS30">
        <v>-2.4245362661989844E-14</v>
      </c>
      <c r="DI30" t="s">
        <v>128</v>
      </c>
      <c r="DJ30" s="18">
        <v>43873</v>
      </c>
      <c r="DK30" s="19">
        <v>0.29166666666666669</v>
      </c>
      <c r="DL30">
        <v>1E-3</v>
      </c>
      <c r="DM30">
        <v>4.2999999999999997E-2</v>
      </c>
      <c r="DN30">
        <v>2.4E-2</v>
      </c>
      <c r="DP30" t="s">
        <v>126</v>
      </c>
      <c r="DQ30" s="18">
        <v>43867</v>
      </c>
      <c r="DR30" s="19">
        <v>0.69236111111111109</v>
      </c>
      <c r="DS30">
        <v>4.5999999999999999E-2</v>
      </c>
      <c r="DT30">
        <v>5.7000000000000002E-2</v>
      </c>
      <c r="DU30">
        <v>6.6000000000000003E-2</v>
      </c>
      <c r="DW30" t="s">
        <v>125</v>
      </c>
      <c r="DX30" s="18">
        <v>43902</v>
      </c>
      <c r="DY30" s="19">
        <v>0.66805555555555551</v>
      </c>
      <c r="DZ30">
        <v>0.80459999999999998</v>
      </c>
      <c r="EA30">
        <v>0.97</v>
      </c>
      <c r="EB30">
        <v>0.96</v>
      </c>
      <c r="ED30" t="s">
        <v>124</v>
      </c>
      <c r="EE30" s="18">
        <v>43886</v>
      </c>
      <c r="EF30" s="19">
        <v>0.67083333333333328</v>
      </c>
      <c r="EG30">
        <v>-0.30840000000000001</v>
      </c>
      <c r="EH30">
        <v>0.66</v>
      </c>
      <c r="EI30">
        <v>0.55500000000000005</v>
      </c>
      <c r="EK30" t="s">
        <v>127</v>
      </c>
      <c r="EL30" s="18">
        <v>43902</v>
      </c>
      <c r="EM30" s="19">
        <v>0.67013888888888884</v>
      </c>
      <c r="EN30">
        <v>1.9630000000000001</v>
      </c>
      <c r="EO30">
        <v>2.27</v>
      </c>
      <c r="EP30">
        <v>2.234</v>
      </c>
      <c r="ER30" t="s">
        <v>128</v>
      </c>
      <c r="ES30" s="18">
        <v>43859</v>
      </c>
      <c r="ET30" s="19">
        <v>0.67361111111111116</v>
      </c>
      <c r="EU30">
        <v>0.60640000000000005</v>
      </c>
      <c r="EV30">
        <v>0.192</v>
      </c>
      <c r="EW30">
        <v>0.17399999999999999</v>
      </c>
      <c r="EY30" t="s">
        <v>128</v>
      </c>
      <c r="EZ30" s="18">
        <v>43860</v>
      </c>
      <c r="FA30" s="19">
        <v>0.2673611111111111</v>
      </c>
      <c r="FB30">
        <v>1.6851</v>
      </c>
      <c r="FC30">
        <v>1.73</v>
      </c>
      <c r="FD30">
        <v>1.5229999999999999</v>
      </c>
      <c r="FF30" t="s">
        <v>127</v>
      </c>
      <c r="FG30" s="18">
        <v>43936</v>
      </c>
      <c r="FH30" s="19">
        <v>0.24652777777777779</v>
      </c>
      <c r="FI30">
        <v>3.52</v>
      </c>
      <c r="FJ30">
        <v>3.72</v>
      </c>
      <c r="FK30">
        <v>3.6459999999999999</v>
      </c>
      <c r="FM30" t="s">
        <v>122</v>
      </c>
      <c r="FN30" s="18">
        <v>44390</v>
      </c>
      <c r="FO30" s="19">
        <v>0.28611111111111109</v>
      </c>
      <c r="FP30">
        <v>3.8279999999999998</v>
      </c>
      <c r="FQ30">
        <v>3.78</v>
      </c>
      <c r="FR30">
        <v>3.1509999999999998</v>
      </c>
      <c r="FT30" t="s">
        <v>126</v>
      </c>
      <c r="FU30" s="18">
        <v>43895</v>
      </c>
      <c r="FV30" s="19">
        <v>0.67708333333333337</v>
      </c>
      <c r="FW30">
        <v>2.1</v>
      </c>
      <c r="FX30">
        <v>2.1</v>
      </c>
      <c r="FY30">
        <v>2.0619999999999998</v>
      </c>
      <c r="GA30" t="s">
        <v>128</v>
      </c>
      <c r="GB30" s="18">
        <v>43861</v>
      </c>
      <c r="GC30" s="19">
        <v>0.31180555555555556</v>
      </c>
      <c r="GD30">
        <v>0.46329999999999999</v>
      </c>
      <c r="GE30">
        <v>0.41</v>
      </c>
      <c r="GF30">
        <v>0.433</v>
      </c>
    </row>
    <row r="31" spans="1:188" x14ac:dyDescent="0.3">
      <c r="A31" t="s">
        <v>128</v>
      </c>
      <c r="B31">
        <v>43768</v>
      </c>
      <c r="C31" s="19">
        <v>0.6875</v>
      </c>
      <c r="D31">
        <v>0.75900000000000001</v>
      </c>
      <c r="E31">
        <v>0.75690000000000002</v>
      </c>
      <c r="F31">
        <v>0.71099999999999997</v>
      </c>
      <c r="H31" t="s">
        <v>129</v>
      </c>
      <c r="I31" s="18">
        <v>43762</v>
      </c>
      <c r="J31" s="19">
        <v>0.66736111111111107</v>
      </c>
      <c r="K31">
        <v>0.21149999999999999</v>
      </c>
      <c r="L31">
        <v>0.21149999999999999</v>
      </c>
      <c r="M31">
        <v>0.22900000000000001</v>
      </c>
      <c r="O31" t="s">
        <v>129</v>
      </c>
      <c r="P31" s="18">
        <v>43766</v>
      </c>
      <c r="Q31" s="19">
        <v>0.6694444444444444</v>
      </c>
      <c r="R31">
        <v>0.50600000000000001</v>
      </c>
      <c r="S31">
        <v>0.57950000000000002</v>
      </c>
      <c r="T31">
        <v>0.61799999999999999</v>
      </c>
      <c r="V31" t="s">
        <v>129</v>
      </c>
      <c r="W31" s="18">
        <v>43768</v>
      </c>
      <c r="X31" s="19">
        <v>0.67013888888888884</v>
      </c>
      <c r="Y31">
        <v>2.13</v>
      </c>
      <c r="Z31">
        <v>2.12</v>
      </c>
      <c r="AA31">
        <v>1.911</v>
      </c>
      <c r="AC31" t="s">
        <v>127</v>
      </c>
      <c r="AD31" s="18">
        <v>43761</v>
      </c>
      <c r="AE31" s="19">
        <v>0.66736111111111107</v>
      </c>
      <c r="AF31">
        <v>1.3857999999999999</v>
      </c>
      <c r="AG31">
        <v>1.385</v>
      </c>
      <c r="AH31">
        <v>1.244</v>
      </c>
      <c r="AJ31" t="s">
        <v>128</v>
      </c>
      <c r="AK31" s="18">
        <v>43851</v>
      </c>
      <c r="AL31" s="19">
        <v>0.66666666666666663</v>
      </c>
      <c r="AM31">
        <v>0.13</v>
      </c>
      <c r="AN31">
        <v>0.13</v>
      </c>
      <c r="AO31">
        <v>5.2999999999999999E-2</v>
      </c>
      <c r="AQ31" t="s">
        <v>125</v>
      </c>
      <c r="AR31" s="18">
        <v>43783</v>
      </c>
      <c r="AS31" s="19">
        <v>0.68055555555555558</v>
      </c>
      <c r="AT31">
        <v>3.6499999999999998E-2</v>
      </c>
      <c r="AU31">
        <v>4.4499999999999998E-2</v>
      </c>
      <c r="AV31">
        <v>3.9E-2</v>
      </c>
      <c r="BE31" t="s">
        <v>129</v>
      </c>
      <c r="BF31" s="18">
        <v>43761</v>
      </c>
      <c r="BG31" s="19">
        <v>0.7270833333333333</v>
      </c>
      <c r="BH31">
        <v>5.8000000000000003E-2</v>
      </c>
      <c r="BI31">
        <v>0.124</v>
      </c>
      <c r="BJ31">
        <v>-8.9999999999999993E-3</v>
      </c>
      <c r="BL31" t="s">
        <v>129</v>
      </c>
      <c r="BM31" s="18">
        <v>43755</v>
      </c>
      <c r="BN31" s="19">
        <v>0.61736111111111114</v>
      </c>
      <c r="BO31">
        <v>19.582799999999999</v>
      </c>
      <c r="BP31">
        <v>19.5</v>
      </c>
      <c r="BQ31">
        <v>18.585999999999999</v>
      </c>
      <c r="BS31" t="s">
        <v>128</v>
      </c>
      <c r="BT31" s="18">
        <v>43811</v>
      </c>
      <c r="BU31" s="19">
        <v>0.67708333333333337</v>
      </c>
      <c r="BV31">
        <v>0.21540000000000001</v>
      </c>
      <c r="BW31">
        <v>0.53900000000000003</v>
      </c>
      <c r="BX31">
        <v>0.53900000000000003</v>
      </c>
      <c r="BZ31" t="s">
        <v>129</v>
      </c>
      <c r="CA31" s="18">
        <v>43767</v>
      </c>
      <c r="CB31" s="19">
        <v>0.67708333333333337</v>
      </c>
      <c r="CC31">
        <v>0.13819999999999999</v>
      </c>
      <c r="CD31">
        <v>0.18</v>
      </c>
      <c r="CE31">
        <v>0.182</v>
      </c>
      <c r="CG31" t="s">
        <v>128</v>
      </c>
      <c r="CH31" s="18">
        <v>43734</v>
      </c>
      <c r="CI31" s="19">
        <v>0.66736111111111107</v>
      </c>
      <c r="CJ31">
        <v>0.42009999999999997</v>
      </c>
      <c r="CK31">
        <v>0.56000000000000005</v>
      </c>
      <c r="CL31">
        <v>0.48499999999999999</v>
      </c>
      <c r="CN31" t="s">
        <v>129</v>
      </c>
      <c r="CO31" s="18">
        <v>43767</v>
      </c>
      <c r="CP31" s="19">
        <v>0.66736111111111107</v>
      </c>
      <c r="CQ31">
        <v>9.4E-2</v>
      </c>
      <c r="CR31">
        <v>9.4100000000000003E-2</v>
      </c>
      <c r="CS31">
        <v>-2.4245362661989844E-14</v>
      </c>
      <c r="DI31" t="s">
        <v>129</v>
      </c>
      <c r="DJ31" s="18">
        <v>43767</v>
      </c>
      <c r="DK31" s="19">
        <v>0.29166666666666669</v>
      </c>
      <c r="DL31">
        <v>-6.4000000000000001E-2</v>
      </c>
      <c r="DM31">
        <v>1.4E-2</v>
      </c>
      <c r="DN31">
        <v>0.01</v>
      </c>
      <c r="DP31" t="s">
        <v>127</v>
      </c>
      <c r="DQ31" s="18">
        <v>43783</v>
      </c>
      <c r="DR31" s="19">
        <v>0.67708333333333337</v>
      </c>
      <c r="DS31">
        <v>5.0999999999999997E-2</v>
      </c>
      <c r="DT31">
        <v>5.0999999999999997E-2</v>
      </c>
      <c r="DU31">
        <v>6.3E-2</v>
      </c>
      <c r="DW31" t="s">
        <v>126</v>
      </c>
      <c r="DX31" s="18">
        <v>43811</v>
      </c>
      <c r="DY31" s="19">
        <v>0.66666666666666663</v>
      </c>
      <c r="DZ31">
        <v>0.7026</v>
      </c>
      <c r="EA31">
        <v>0.9</v>
      </c>
      <c r="EB31">
        <v>0.88500000000000001</v>
      </c>
      <c r="ED31" t="s">
        <v>125</v>
      </c>
      <c r="EE31" s="18">
        <v>43802</v>
      </c>
      <c r="EF31" s="19">
        <v>0.67013888888888884</v>
      </c>
      <c r="EG31">
        <v>-0.12939999999999999</v>
      </c>
      <c r="EH31">
        <v>0.75</v>
      </c>
      <c r="EI31">
        <v>0.66</v>
      </c>
      <c r="EK31" t="s">
        <v>128</v>
      </c>
      <c r="EL31" s="18">
        <v>43811</v>
      </c>
      <c r="EM31" s="19">
        <v>0.67013888888888884</v>
      </c>
      <c r="EN31">
        <v>1.7309000000000001</v>
      </c>
      <c r="EO31">
        <v>2.29</v>
      </c>
      <c r="EP31">
        <v>2.258</v>
      </c>
      <c r="ER31" t="s">
        <v>129</v>
      </c>
      <c r="ES31" s="18">
        <v>43761</v>
      </c>
      <c r="ET31" s="19">
        <v>0.67361111111111116</v>
      </c>
      <c r="EU31">
        <v>4.2000000000000003E-2</v>
      </c>
      <c r="EV31">
        <v>0.19800000000000001</v>
      </c>
      <c r="EW31">
        <v>0.17699999999999999</v>
      </c>
      <c r="EY31" t="s">
        <v>129</v>
      </c>
      <c r="EZ31" s="18">
        <v>43761</v>
      </c>
      <c r="FA31" s="19">
        <v>0.2673611111111111</v>
      </c>
      <c r="FB31">
        <v>1.4359999999999999</v>
      </c>
      <c r="FC31">
        <v>1.48</v>
      </c>
      <c r="FD31">
        <v>1.405</v>
      </c>
      <c r="FF31" t="s">
        <v>128</v>
      </c>
      <c r="FG31" s="18">
        <v>43845</v>
      </c>
      <c r="FH31" s="19">
        <v>0.24652777777777779</v>
      </c>
      <c r="FI31">
        <v>3.68</v>
      </c>
      <c r="FJ31">
        <v>3.9</v>
      </c>
      <c r="FK31">
        <v>3.778</v>
      </c>
      <c r="FM31" t="s">
        <v>123</v>
      </c>
      <c r="FN31" s="18">
        <v>44300</v>
      </c>
      <c r="FO31" s="19">
        <v>0.28541666666666665</v>
      </c>
      <c r="FP31">
        <v>4.5072000000000001</v>
      </c>
      <c r="FQ31">
        <v>4.5</v>
      </c>
      <c r="FR31">
        <v>3.0139999999999998</v>
      </c>
      <c r="FT31" t="s">
        <v>127</v>
      </c>
      <c r="FU31" s="18">
        <v>43811</v>
      </c>
      <c r="FV31" s="19">
        <v>0.67708333333333337</v>
      </c>
      <c r="FW31">
        <v>1.9</v>
      </c>
      <c r="FX31">
        <v>1.9</v>
      </c>
      <c r="FY31">
        <v>1.7110000000000001</v>
      </c>
      <c r="GA31" t="s">
        <v>129</v>
      </c>
      <c r="GB31" s="18">
        <v>43770</v>
      </c>
      <c r="GC31" s="19">
        <v>0.3125</v>
      </c>
      <c r="GD31">
        <v>0.75</v>
      </c>
      <c r="GE31">
        <v>0.67220000000000002</v>
      </c>
      <c r="GF31">
        <v>0.66800000000000004</v>
      </c>
    </row>
    <row r="32" spans="1:188" x14ac:dyDescent="0.3">
      <c r="A32" t="s">
        <v>129</v>
      </c>
      <c r="B32">
        <v>43676</v>
      </c>
      <c r="C32" s="19">
        <v>0.6875</v>
      </c>
      <c r="D32">
        <v>0.54379999999999995</v>
      </c>
      <c r="E32">
        <v>0.54569999999999996</v>
      </c>
      <c r="F32">
        <v>0.52500000000000002</v>
      </c>
      <c r="H32" t="s">
        <v>130</v>
      </c>
      <c r="I32" s="18">
        <v>43671</v>
      </c>
      <c r="J32" s="19">
        <v>0.66736111111111107</v>
      </c>
      <c r="K32">
        <v>0.26100000000000001</v>
      </c>
      <c r="L32">
        <v>0.26100000000000001</v>
      </c>
      <c r="M32">
        <v>0.27900000000000003</v>
      </c>
      <c r="O32" t="s">
        <v>130</v>
      </c>
      <c r="P32" s="18">
        <v>43671</v>
      </c>
      <c r="Q32" s="19">
        <v>0.66805555555555551</v>
      </c>
      <c r="R32">
        <v>0.71050000000000002</v>
      </c>
      <c r="S32">
        <v>0.58299999999999996</v>
      </c>
      <c r="T32">
        <v>0.56000000000000005</v>
      </c>
      <c r="V32" t="s">
        <v>130</v>
      </c>
      <c r="W32" s="18">
        <v>43670</v>
      </c>
      <c r="X32" s="19">
        <v>0.67013888888888884</v>
      </c>
      <c r="Y32">
        <v>0.91</v>
      </c>
      <c r="Z32">
        <v>0.91</v>
      </c>
      <c r="AA32">
        <v>1.88</v>
      </c>
      <c r="AC32" t="s">
        <v>128</v>
      </c>
      <c r="AD32" s="18">
        <v>43664</v>
      </c>
      <c r="AE32" s="19">
        <v>0.6694444444444444</v>
      </c>
      <c r="AF32">
        <v>1.3506</v>
      </c>
      <c r="AG32">
        <v>1.37</v>
      </c>
      <c r="AH32">
        <v>1.2150000000000001</v>
      </c>
      <c r="AJ32" t="s">
        <v>129</v>
      </c>
      <c r="AK32" s="18">
        <v>43754</v>
      </c>
      <c r="AL32" s="19">
        <v>0.66666666666666663</v>
      </c>
      <c r="AM32">
        <v>0.14699999999999999</v>
      </c>
      <c r="AN32">
        <v>0.14699999999999999</v>
      </c>
      <c r="AO32">
        <v>0.104</v>
      </c>
      <c r="AQ32" t="s">
        <v>126</v>
      </c>
      <c r="AR32" s="18">
        <v>43692</v>
      </c>
      <c r="AS32" s="19">
        <v>0.68055555555555558</v>
      </c>
      <c r="AT32">
        <v>2.2800000000000001E-2</v>
      </c>
      <c r="AU32">
        <v>3.1E-2</v>
      </c>
      <c r="AV32">
        <v>2.8000000000000001E-2</v>
      </c>
      <c r="BE32" t="s">
        <v>130</v>
      </c>
      <c r="BF32" s="18">
        <v>43670</v>
      </c>
      <c r="BG32" s="19">
        <v>0.70138888888888884</v>
      </c>
      <c r="BH32">
        <v>-0.1103</v>
      </c>
      <c r="BI32">
        <v>-7.4700000000000003E-2</v>
      </c>
      <c r="BJ32">
        <v>-2.1999999999999999E-2</v>
      </c>
      <c r="BL32" t="s">
        <v>130</v>
      </c>
      <c r="BM32" s="18">
        <v>43663</v>
      </c>
      <c r="BN32" s="19">
        <v>0.79236111111111107</v>
      </c>
      <c r="BO32">
        <v>12.818099999999999</v>
      </c>
      <c r="BP32">
        <v>12.85</v>
      </c>
      <c r="BQ32">
        <v>12.702</v>
      </c>
      <c r="BS32" t="s">
        <v>129</v>
      </c>
      <c r="BT32" s="18">
        <v>43720</v>
      </c>
      <c r="BU32" s="19">
        <v>0.67708333333333337</v>
      </c>
      <c r="BV32">
        <v>0.18659999999999999</v>
      </c>
      <c r="BW32">
        <v>0.51600000000000001</v>
      </c>
      <c r="BX32">
        <v>0.51300000000000001</v>
      </c>
      <c r="BZ32" t="s">
        <v>130</v>
      </c>
      <c r="CA32" s="18">
        <v>43676</v>
      </c>
      <c r="CB32" s="19">
        <v>0.68055555555555558</v>
      </c>
      <c r="CC32">
        <v>3.4099999999999998E-2</v>
      </c>
      <c r="CD32">
        <v>0.08</v>
      </c>
      <c r="CE32">
        <v>7.6999999999999999E-2</v>
      </c>
      <c r="CG32" t="s">
        <v>129</v>
      </c>
      <c r="CH32" s="18">
        <v>43641</v>
      </c>
      <c r="CI32" s="19">
        <v>0.66805555555555551</v>
      </c>
      <c r="CJ32">
        <v>0.94769999999999999</v>
      </c>
      <c r="CK32">
        <v>1.05</v>
      </c>
      <c r="CL32">
        <v>0.78400000000000003</v>
      </c>
      <c r="CN32" t="s">
        <v>130</v>
      </c>
      <c r="CO32" s="18">
        <v>43676</v>
      </c>
      <c r="CP32" s="19">
        <v>0.66736111111111107</v>
      </c>
      <c r="CQ32">
        <v>-1.35E-2</v>
      </c>
      <c r="CR32">
        <v>-1.34E-2</v>
      </c>
      <c r="CS32">
        <v>4.2999999999999997E-2</v>
      </c>
      <c r="DI32" t="s">
        <v>130</v>
      </c>
      <c r="DJ32" s="18">
        <v>43678</v>
      </c>
      <c r="DK32" s="19">
        <v>0.29166666666666669</v>
      </c>
      <c r="DL32">
        <v>-2.5999999999999999E-2</v>
      </c>
      <c r="DM32">
        <v>1.4E-2</v>
      </c>
      <c r="DN32">
        <v>3.0000000000000001E-3</v>
      </c>
      <c r="DP32" t="s">
        <v>128</v>
      </c>
      <c r="DQ32" s="18">
        <v>43692</v>
      </c>
      <c r="DR32" s="19">
        <v>0.67361111111111116</v>
      </c>
      <c r="DS32">
        <v>0.13389999999999999</v>
      </c>
      <c r="DT32">
        <v>4.53E-2</v>
      </c>
      <c r="DU32">
        <v>5.8999999999999997E-2</v>
      </c>
      <c r="DW32" t="s">
        <v>127</v>
      </c>
      <c r="DX32" s="18">
        <v>43719</v>
      </c>
      <c r="DY32" s="19">
        <v>0.67152777777777772</v>
      </c>
      <c r="DZ32">
        <v>0.64959999999999996</v>
      </c>
      <c r="EA32">
        <v>0.81</v>
      </c>
      <c r="EB32">
        <v>0.80700000000000005</v>
      </c>
      <c r="ED32" t="s">
        <v>126</v>
      </c>
      <c r="EE32" s="18">
        <v>43699</v>
      </c>
      <c r="EF32" s="19">
        <v>0.67013888888888884</v>
      </c>
      <c r="EG32">
        <v>0.1656</v>
      </c>
      <c r="EH32">
        <v>0.66</v>
      </c>
      <c r="EI32">
        <v>0.46899999999999997</v>
      </c>
      <c r="EK32" t="s">
        <v>129</v>
      </c>
      <c r="EL32" s="18">
        <v>43725</v>
      </c>
      <c r="EM32" s="19">
        <v>0.67013888888888884</v>
      </c>
      <c r="EN32">
        <v>1.6046</v>
      </c>
      <c r="EO32">
        <v>2.0499999999999998</v>
      </c>
      <c r="EP32">
        <v>1.972</v>
      </c>
      <c r="ER32" t="s">
        <v>130</v>
      </c>
      <c r="ES32" s="18">
        <v>43670</v>
      </c>
      <c r="ET32" s="19">
        <v>0.67361111111111116</v>
      </c>
      <c r="EU32">
        <v>-1.1900000000000001E-2</v>
      </c>
      <c r="EV32">
        <v>0.14199999999999999</v>
      </c>
      <c r="EW32">
        <v>0.125</v>
      </c>
      <c r="EY32" t="s">
        <v>130</v>
      </c>
      <c r="EZ32" s="18">
        <v>43676</v>
      </c>
      <c r="FA32" s="19">
        <v>0.2673611111111111</v>
      </c>
      <c r="FB32">
        <v>1.4614</v>
      </c>
      <c r="FC32">
        <v>1.5</v>
      </c>
      <c r="FD32">
        <v>1.45</v>
      </c>
      <c r="FF32" t="s">
        <v>129</v>
      </c>
      <c r="FG32" s="18">
        <v>43753</v>
      </c>
      <c r="FH32" s="19">
        <v>0.24652777777777779</v>
      </c>
      <c r="FI32">
        <v>3.67</v>
      </c>
      <c r="FJ32">
        <v>3.88</v>
      </c>
      <c r="FK32">
        <v>3.7469999999999999</v>
      </c>
      <c r="FM32" t="s">
        <v>124</v>
      </c>
      <c r="FN32" s="18">
        <v>44211</v>
      </c>
      <c r="FO32" s="19">
        <v>0.2902777777777778</v>
      </c>
      <c r="FP32">
        <v>3.8607</v>
      </c>
      <c r="FQ32">
        <v>3.79</v>
      </c>
      <c r="FR32">
        <v>2.6230000000000002</v>
      </c>
      <c r="FT32" t="s">
        <v>128</v>
      </c>
      <c r="FU32" s="18">
        <v>43741</v>
      </c>
      <c r="FV32" s="19">
        <v>0.67708333333333337</v>
      </c>
      <c r="FW32">
        <v>2.69</v>
      </c>
      <c r="FX32">
        <v>2.6941000000000002</v>
      </c>
      <c r="FY32">
        <v>2.544</v>
      </c>
      <c r="GA32" t="s">
        <v>130</v>
      </c>
      <c r="GB32" s="18">
        <v>43679</v>
      </c>
      <c r="GC32" s="19">
        <v>0.31180555555555556</v>
      </c>
      <c r="GD32">
        <v>0.73</v>
      </c>
      <c r="GE32">
        <v>0.61280000000000001</v>
      </c>
      <c r="GF32">
        <v>0.65900000000000003</v>
      </c>
    </row>
    <row r="33" spans="1:188" x14ac:dyDescent="0.3">
      <c r="A33" t="s">
        <v>130</v>
      </c>
      <c r="B33">
        <v>43585</v>
      </c>
      <c r="C33" s="19">
        <v>0.6875</v>
      </c>
      <c r="D33">
        <v>0.61660000000000004</v>
      </c>
      <c r="E33">
        <v>0.6149</v>
      </c>
      <c r="F33">
        <v>0.59299999999999997</v>
      </c>
      <c r="H33" t="s">
        <v>131</v>
      </c>
      <c r="I33" s="18">
        <v>43580</v>
      </c>
      <c r="J33" s="19">
        <v>0.66736111111111107</v>
      </c>
      <c r="K33">
        <v>0.35449999999999998</v>
      </c>
      <c r="L33">
        <v>0.35449999999999998</v>
      </c>
      <c r="M33">
        <v>0.23400000000000001</v>
      </c>
      <c r="O33" t="s">
        <v>131</v>
      </c>
      <c r="P33" s="18">
        <v>43584</v>
      </c>
      <c r="Q33" s="19">
        <v>0.66805555555555551</v>
      </c>
      <c r="R33">
        <v>0.47499999999999998</v>
      </c>
      <c r="S33">
        <v>0.54049999999999998</v>
      </c>
      <c r="T33">
        <v>0.52700000000000002</v>
      </c>
      <c r="V33" t="s">
        <v>131</v>
      </c>
      <c r="W33" s="18">
        <v>43579</v>
      </c>
      <c r="X33" s="19">
        <v>0.67013888888888884</v>
      </c>
      <c r="Y33">
        <v>0.85</v>
      </c>
      <c r="Z33">
        <v>0.85</v>
      </c>
      <c r="AA33">
        <v>1.619</v>
      </c>
      <c r="AC33" t="s">
        <v>129</v>
      </c>
      <c r="AD33" s="18">
        <v>43579</v>
      </c>
      <c r="AE33" s="19">
        <v>0.67013888888888884</v>
      </c>
      <c r="AF33">
        <v>1.1355</v>
      </c>
      <c r="AG33">
        <v>1.1375</v>
      </c>
      <c r="AH33">
        <v>0.999</v>
      </c>
      <c r="AJ33" t="s">
        <v>130</v>
      </c>
      <c r="AK33" s="18">
        <v>43663</v>
      </c>
      <c r="AL33" s="19">
        <v>0.66666666666666663</v>
      </c>
      <c r="AM33">
        <v>0.06</v>
      </c>
      <c r="AN33">
        <v>0.06</v>
      </c>
      <c r="AO33">
        <v>5.6000000000000001E-2</v>
      </c>
      <c r="AQ33" t="s">
        <v>127</v>
      </c>
      <c r="AR33" s="18">
        <v>43601</v>
      </c>
      <c r="AS33" s="19">
        <v>0.68055555555555558</v>
      </c>
      <c r="AT33">
        <v>1.66E-2</v>
      </c>
      <c r="AU33">
        <v>2.1999999999999999E-2</v>
      </c>
      <c r="AV33">
        <v>0.02</v>
      </c>
      <c r="BE33" t="s">
        <v>131</v>
      </c>
      <c r="BF33" s="18">
        <v>43579</v>
      </c>
      <c r="BG33" s="19">
        <v>0.71944444444444444</v>
      </c>
      <c r="BH33">
        <v>-0.25169999999999998</v>
      </c>
      <c r="BI33">
        <v>-0.1933</v>
      </c>
      <c r="BJ33">
        <v>-8.5999999999999993E-2</v>
      </c>
      <c r="BL33" t="s">
        <v>131</v>
      </c>
      <c r="BM33" s="18">
        <v>43600</v>
      </c>
      <c r="BO33">
        <v>11.923</v>
      </c>
      <c r="BP33">
        <v>11.85</v>
      </c>
      <c r="BQ33">
        <v>12.254</v>
      </c>
      <c r="BS33" t="s">
        <v>130</v>
      </c>
      <c r="BT33" s="18">
        <v>43629</v>
      </c>
      <c r="BU33" s="19">
        <v>0.67708333333333337</v>
      </c>
      <c r="BV33">
        <v>0.18809999999999999</v>
      </c>
      <c r="BW33">
        <v>0.52100000000000002</v>
      </c>
      <c r="BX33">
        <v>0.51500000000000001</v>
      </c>
      <c r="BZ33" t="s">
        <v>131</v>
      </c>
      <c r="CA33" s="18">
        <v>43585</v>
      </c>
      <c r="CB33" s="19">
        <v>0.68055555555555558</v>
      </c>
      <c r="CC33">
        <v>5.7000000000000002E-3</v>
      </c>
      <c r="CD33">
        <v>0.06</v>
      </c>
      <c r="CE33">
        <v>5.3999999999999999E-2</v>
      </c>
      <c r="CG33" t="s">
        <v>130</v>
      </c>
      <c r="CH33" s="18">
        <v>43544</v>
      </c>
      <c r="CI33" s="19">
        <v>0.66736111111111107</v>
      </c>
      <c r="CJ33">
        <v>1.5317000000000001</v>
      </c>
      <c r="CK33">
        <v>1.71</v>
      </c>
      <c r="CL33">
        <v>1.6539999999999999</v>
      </c>
      <c r="CN33" t="s">
        <v>131</v>
      </c>
      <c r="CO33" s="18">
        <v>43585</v>
      </c>
      <c r="CP33" s="19">
        <v>0.66736111111111107</v>
      </c>
      <c r="CQ33">
        <v>-7.6700000000000004E-2</v>
      </c>
      <c r="CR33">
        <v>-5.3199999999999997E-2</v>
      </c>
      <c r="CS33">
        <v>-2.4245362661989844E-14</v>
      </c>
      <c r="DI33" t="s">
        <v>131</v>
      </c>
      <c r="DJ33" s="18">
        <v>43585</v>
      </c>
      <c r="DK33" s="19">
        <v>0.29166666666666669</v>
      </c>
      <c r="DL33">
        <v>-2.1999999999999999E-2</v>
      </c>
      <c r="DM33">
        <v>8.9999999999999993E-3</v>
      </c>
      <c r="DN33">
        <v>-4.0000000000000001E-3</v>
      </c>
      <c r="DP33" t="s">
        <v>129</v>
      </c>
      <c r="DQ33" s="18">
        <v>43602</v>
      </c>
      <c r="DR33" s="19">
        <v>0.25138888888888888</v>
      </c>
      <c r="DS33">
        <v>2.1000000000000001E-2</v>
      </c>
      <c r="DT33">
        <v>2.1000000000000001E-2</v>
      </c>
      <c r="DU33">
        <v>0.05</v>
      </c>
      <c r="DW33" t="s">
        <v>128</v>
      </c>
      <c r="DX33" s="18">
        <v>43635</v>
      </c>
      <c r="DY33" s="19">
        <v>0.66805555555555551</v>
      </c>
      <c r="DZ33">
        <v>1.0872999999999999</v>
      </c>
      <c r="EA33">
        <v>1.1599999999999999</v>
      </c>
      <c r="EB33">
        <v>1.0740000000000001</v>
      </c>
      <c r="ED33" t="s">
        <v>127</v>
      </c>
      <c r="EE33" s="18">
        <v>43620</v>
      </c>
      <c r="EF33" s="19">
        <v>0.67013888888888884</v>
      </c>
      <c r="EG33">
        <v>0.21010000000000001</v>
      </c>
      <c r="EH33">
        <v>0.93</v>
      </c>
      <c r="EI33">
        <v>0.60599999999999998</v>
      </c>
      <c r="EK33" t="s">
        <v>130</v>
      </c>
      <c r="EL33" s="18">
        <v>43634</v>
      </c>
      <c r="EM33" s="19">
        <v>0.67013888888888884</v>
      </c>
      <c r="EN33">
        <v>1.2916000000000001</v>
      </c>
      <c r="EO33">
        <v>1.83</v>
      </c>
      <c r="EP33">
        <v>1.782</v>
      </c>
      <c r="ER33" t="s">
        <v>131</v>
      </c>
      <c r="ES33" s="18">
        <v>43579</v>
      </c>
      <c r="ET33" s="19">
        <v>0.67361111111111116</v>
      </c>
      <c r="EU33">
        <v>-2E-3</v>
      </c>
      <c r="EV33">
        <v>0.13400000000000001</v>
      </c>
      <c r="EW33">
        <v>0.108</v>
      </c>
      <c r="EY33" t="s">
        <v>131</v>
      </c>
      <c r="EZ33" s="18">
        <v>43585</v>
      </c>
      <c r="FA33" s="19">
        <v>0.2673611111111111</v>
      </c>
      <c r="FB33">
        <v>1.2210000000000001</v>
      </c>
      <c r="FC33">
        <v>1.33</v>
      </c>
      <c r="FD33">
        <v>1.3009999999999999</v>
      </c>
      <c r="FF33" t="s">
        <v>130</v>
      </c>
      <c r="FG33" s="18">
        <v>43664</v>
      </c>
      <c r="FH33" s="19">
        <v>0.24652777777777779</v>
      </c>
      <c r="FI33">
        <v>3.42</v>
      </c>
      <c r="FJ33">
        <v>3.6</v>
      </c>
      <c r="FK33">
        <v>3.4489999999999998</v>
      </c>
      <c r="FM33" t="s">
        <v>125</v>
      </c>
      <c r="FN33" s="18">
        <v>44117</v>
      </c>
      <c r="FO33" s="19">
        <v>0.28194444444444444</v>
      </c>
      <c r="FP33">
        <v>3.0543</v>
      </c>
      <c r="FQ33">
        <v>2.92</v>
      </c>
      <c r="FR33">
        <v>2.2570000000000001</v>
      </c>
      <c r="FT33" t="s">
        <v>129</v>
      </c>
      <c r="FU33" s="18">
        <v>43615</v>
      </c>
      <c r="FV33" s="19">
        <v>0.67708333333333337</v>
      </c>
      <c r="FW33">
        <v>1.8851</v>
      </c>
      <c r="FX33">
        <v>1.8868</v>
      </c>
      <c r="FY33">
        <v>1.8129999999999999</v>
      </c>
      <c r="GA33" t="s">
        <v>131</v>
      </c>
      <c r="GB33" s="18">
        <v>43581</v>
      </c>
      <c r="GC33" s="19">
        <v>0.33333333333333331</v>
      </c>
      <c r="GD33">
        <v>0.55000000000000004</v>
      </c>
      <c r="GE33">
        <v>0.5504</v>
      </c>
      <c r="GF33">
        <v>0.71599999999999997</v>
      </c>
    </row>
    <row r="34" spans="1:188" x14ac:dyDescent="0.3">
      <c r="A34" t="s">
        <v>131</v>
      </c>
      <c r="B34">
        <v>43494</v>
      </c>
      <c r="C34" s="19">
        <v>0.6875</v>
      </c>
      <c r="D34">
        <v>1.0468999999999999</v>
      </c>
      <c r="E34">
        <v>1.0457000000000001</v>
      </c>
      <c r="F34">
        <v>1.042</v>
      </c>
      <c r="H34" t="s">
        <v>132</v>
      </c>
      <c r="I34" s="18">
        <v>43496</v>
      </c>
      <c r="J34" s="19">
        <v>0.66736111111111107</v>
      </c>
      <c r="K34">
        <v>0.30199999999999999</v>
      </c>
      <c r="L34">
        <v>0.30199999999999999</v>
      </c>
      <c r="M34">
        <v>0.27800000000000002</v>
      </c>
      <c r="O34" t="s">
        <v>132</v>
      </c>
      <c r="P34" s="18">
        <v>43500</v>
      </c>
      <c r="Q34" s="19">
        <v>0.66805555555555551</v>
      </c>
      <c r="R34">
        <v>0.63849999999999996</v>
      </c>
      <c r="S34">
        <v>0.64049999999999996</v>
      </c>
      <c r="T34">
        <v>0.54300000000000004</v>
      </c>
      <c r="V34" t="s">
        <v>132</v>
      </c>
      <c r="W34" s="18">
        <v>43495</v>
      </c>
      <c r="X34" s="19">
        <v>0.67013888888888884</v>
      </c>
      <c r="Y34">
        <v>2.38</v>
      </c>
      <c r="Z34">
        <v>2.38</v>
      </c>
      <c r="AA34">
        <v>2.1829999999999998</v>
      </c>
      <c r="AC34" t="s">
        <v>130</v>
      </c>
      <c r="AD34" s="18">
        <v>43495</v>
      </c>
      <c r="AE34" s="19">
        <v>0.6694444444444444</v>
      </c>
      <c r="AF34">
        <v>1.0907</v>
      </c>
      <c r="AG34">
        <v>1.1041000000000001</v>
      </c>
      <c r="AH34">
        <v>1.093</v>
      </c>
      <c r="AJ34" t="s">
        <v>131</v>
      </c>
      <c r="AK34" s="18">
        <v>43571</v>
      </c>
      <c r="AL34" s="19">
        <v>0.66666666666666663</v>
      </c>
      <c r="AM34">
        <v>7.5999999999999998E-2</v>
      </c>
      <c r="AN34">
        <v>7.5999999999999998E-2</v>
      </c>
      <c r="AO34">
        <v>5.8000000000000003E-2</v>
      </c>
      <c r="AQ34" t="s">
        <v>128</v>
      </c>
      <c r="AR34" s="18">
        <v>43510</v>
      </c>
      <c r="AS34" s="19">
        <v>0.68055555555555558</v>
      </c>
      <c r="AT34">
        <v>1.3299999999999999E-2</v>
      </c>
      <c r="AU34">
        <v>0.02</v>
      </c>
      <c r="AV34">
        <v>0.02</v>
      </c>
      <c r="BE34" t="s">
        <v>132</v>
      </c>
      <c r="BF34" s="18">
        <v>43495</v>
      </c>
      <c r="BG34" s="19">
        <v>0.67986111111111114</v>
      </c>
      <c r="BH34">
        <v>6.2100000000000002E-2</v>
      </c>
      <c r="BI34">
        <v>0.12870000000000001</v>
      </c>
      <c r="BJ34">
        <v>0.14299999999999999</v>
      </c>
      <c r="BL34" t="s">
        <v>258</v>
      </c>
      <c r="BM34" s="18">
        <v>43481</v>
      </c>
      <c r="BN34" s="19">
        <v>0.8</v>
      </c>
      <c r="BO34">
        <v>68.433000000000007</v>
      </c>
      <c r="BP34">
        <v>67.7</v>
      </c>
      <c r="BQ34">
        <v>67.513999999999996</v>
      </c>
      <c r="BS34" t="s">
        <v>131</v>
      </c>
      <c r="BT34" s="18">
        <v>43538</v>
      </c>
      <c r="BU34" s="19">
        <v>0.67708333333333337</v>
      </c>
      <c r="BV34">
        <v>0.24709999999999999</v>
      </c>
      <c r="BW34">
        <v>0.55500000000000005</v>
      </c>
      <c r="BX34">
        <v>0.52400000000000002</v>
      </c>
      <c r="BZ34" t="s">
        <v>132</v>
      </c>
      <c r="CA34" s="18">
        <v>43494</v>
      </c>
      <c r="CB34" s="19">
        <v>0.67708333333333337</v>
      </c>
      <c r="CC34">
        <v>4.4900000000000002E-2</v>
      </c>
      <c r="CD34">
        <v>0.08</v>
      </c>
      <c r="CE34">
        <v>8.2000000000000003E-2</v>
      </c>
      <c r="CG34" t="s">
        <v>131</v>
      </c>
      <c r="CH34" s="18">
        <v>43452</v>
      </c>
      <c r="CI34" s="19">
        <v>0.66736111111111107</v>
      </c>
      <c r="CJ34">
        <v>2.8856999999999999</v>
      </c>
      <c r="CK34">
        <v>2.97</v>
      </c>
      <c r="CL34">
        <v>2.9529999999999998</v>
      </c>
      <c r="CN34" t="s">
        <v>132</v>
      </c>
      <c r="CO34" s="18">
        <v>43494</v>
      </c>
      <c r="CP34" s="19">
        <v>0.66736111111111107</v>
      </c>
      <c r="CQ34">
        <v>3.0700000000000002E-2</v>
      </c>
      <c r="CR34">
        <v>3.0700000000000002E-2</v>
      </c>
      <c r="CS34">
        <v>0.155</v>
      </c>
      <c r="DI34" t="s">
        <v>132</v>
      </c>
      <c r="DJ34" s="18">
        <v>43508</v>
      </c>
      <c r="DK34" s="19">
        <v>0.29166666666666669</v>
      </c>
      <c r="DL34">
        <v>-1E-3</v>
      </c>
      <c r="DM34">
        <v>2.5999999999999999E-2</v>
      </c>
      <c r="DN34">
        <v>0.02</v>
      </c>
      <c r="DP34" t="s">
        <v>130</v>
      </c>
      <c r="DQ34" s="18">
        <v>43510</v>
      </c>
      <c r="DR34" s="19">
        <v>0.67708333333333337</v>
      </c>
      <c r="DS34">
        <v>3.5999999999999997E-2</v>
      </c>
      <c r="DT34">
        <v>3.5999999999999997E-2</v>
      </c>
      <c r="DU34">
        <v>0.06</v>
      </c>
      <c r="DW34" t="s">
        <v>129</v>
      </c>
      <c r="DX34" s="18">
        <v>43538</v>
      </c>
      <c r="DY34" s="19">
        <v>0.66805555555555551</v>
      </c>
      <c r="DZ34">
        <v>0.70269999999999999</v>
      </c>
      <c r="EA34">
        <v>0.87</v>
      </c>
      <c r="EB34">
        <v>0.84099999999999997</v>
      </c>
      <c r="ED34" t="s">
        <v>128</v>
      </c>
      <c r="EE34" s="18">
        <v>43528</v>
      </c>
      <c r="EF34" s="19">
        <v>0.67013888888888884</v>
      </c>
      <c r="EG34">
        <v>0.33439999999999998</v>
      </c>
      <c r="EH34">
        <v>0.7</v>
      </c>
      <c r="EI34">
        <v>0.55300000000000005</v>
      </c>
      <c r="EK34" t="s">
        <v>131</v>
      </c>
      <c r="EL34" s="18">
        <v>43538</v>
      </c>
      <c r="EM34" s="19">
        <v>0.67013888888888884</v>
      </c>
      <c r="EN34">
        <v>1.2988</v>
      </c>
      <c r="EO34">
        <v>1.71</v>
      </c>
      <c r="EP34">
        <v>1.6160000000000001</v>
      </c>
      <c r="ER34" t="s">
        <v>132</v>
      </c>
      <c r="ES34" s="18">
        <v>43495</v>
      </c>
      <c r="ET34" s="19">
        <v>0.67361111111111116</v>
      </c>
      <c r="EU34">
        <v>7.7999999999999996E-3</v>
      </c>
      <c r="EV34">
        <v>0.154</v>
      </c>
      <c r="EW34">
        <v>0.126</v>
      </c>
      <c r="EY34" t="s">
        <v>132</v>
      </c>
      <c r="EZ34" s="18">
        <v>43502</v>
      </c>
      <c r="FA34" s="19">
        <v>0.2673611111111111</v>
      </c>
      <c r="FB34">
        <v>1.2067000000000001</v>
      </c>
      <c r="FC34">
        <v>1.33</v>
      </c>
      <c r="FD34">
        <v>1.337</v>
      </c>
      <c r="FF34" t="s">
        <v>131</v>
      </c>
      <c r="FG34" s="18">
        <v>43571</v>
      </c>
      <c r="FH34" s="19">
        <v>0.24652777777777779</v>
      </c>
      <c r="FI34">
        <v>3.56</v>
      </c>
      <c r="FJ34">
        <v>3.73</v>
      </c>
      <c r="FK34">
        <v>3.5990000000000002</v>
      </c>
      <c r="FM34" t="s">
        <v>126</v>
      </c>
      <c r="FN34" s="18">
        <v>44026</v>
      </c>
      <c r="FO34" s="19">
        <v>0.28611111111111109</v>
      </c>
      <c r="FP34">
        <v>1.4103000000000001</v>
      </c>
      <c r="FQ34">
        <v>1.38</v>
      </c>
      <c r="FR34">
        <v>1.0069999999999999</v>
      </c>
      <c r="FT34" t="s">
        <v>130</v>
      </c>
      <c r="FU34" s="18">
        <v>43531</v>
      </c>
      <c r="FV34" s="19">
        <v>0.67708333333333337</v>
      </c>
      <c r="FW34">
        <v>2.0099999999999998</v>
      </c>
      <c r="FX34">
        <v>2.0099999999999998</v>
      </c>
      <c r="FY34">
        <v>1.6890000000000001</v>
      </c>
      <c r="GA34" t="s">
        <v>132</v>
      </c>
      <c r="GB34" s="18">
        <v>43497</v>
      </c>
      <c r="GC34" s="19">
        <v>0.33333333333333331</v>
      </c>
      <c r="GD34">
        <v>1.5008999999999999</v>
      </c>
      <c r="GE34">
        <v>1.41</v>
      </c>
      <c r="GF34">
        <v>1.08</v>
      </c>
    </row>
    <row r="35" spans="1:188" x14ac:dyDescent="0.3">
      <c r="A35" t="s">
        <v>132</v>
      </c>
      <c r="B35">
        <v>43405</v>
      </c>
      <c r="C35" s="19">
        <v>0.6875</v>
      </c>
      <c r="D35">
        <v>0.72870000000000001</v>
      </c>
      <c r="E35">
        <v>0.72850000000000004</v>
      </c>
      <c r="F35">
        <v>0.69499999999999995</v>
      </c>
      <c r="H35" t="s">
        <v>133</v>
      </c>
      <c r="I35" s="18">
        <v>43398</v>
      </c>
      <c r="J35" s="19">
        <v>0.66736111111111107</v>
      </c>
      <c r="K35">
        <v>0.28749999999999998</v>
      </c>
      <c r="L35">
        <v>0.28749999999999998</v>
      </c>
      <c r="M35">
        <v>0.155</v>
      </c>
      <c r="O35" t="s">
        <v>133</v>
      </c>
      <c r="P35" s="18">
        <v>43398</v>
      </c>
      <c r="Q35" s="19">
        <v>0.66874999999999996</v>
      </c>
      <c r="R35">
        <v>0.65300000000000002</v>
      </c>
      <c r="S35">
        <v>0.59299999999999997</v>
      </c>
      <c r="T35">
        <v>0.52300000000000002</v>
      </c>
      <c r="V35" t="s">
        <v>133</v>
      </c>
      <c r="W35" s="18">
        <v>43403</v>
      </c>
      <c r="X35" s="19">
        <v>0.67013888888888884</v>
      </c>
      <c r="Y35">
        <v>1.76</v>
      </c>
      <c r="Z35">
        <v>1.76</v>
      </c>
      <c r="AA35">
        <v>1.474</v>
      </c>
      <c r="AC35" t="s">
        <v>131</v>
      </c>
      <c r="AD35" s="18">
        <v>43397</v>
      </c>
      <c r="AE35" s="19">
        <v>0.6694444444444444</v>
      </c>
      <c r="AF35">
        <v>1.1153</v>
      </c>
      <c r="AG35">
        <v>1.1362000000000001</v>
      </c>
      <c r="AH35">
        <v>0.96199999999999997</v>
      </c>
      <c r="AJ35" t="s">
        <v>132</v>
      </c>
      <c r="AK35" s="18">
        <v>43482</v>
      </c>
      <c r="AL35" s="19">
        <v>0.66666666666666663</v>
      </c>
      <c r="AM35">
        <v>0.03</v>
      </c>
      <c r="AN35">
        <v>0.03</v>
      </c>
      <c r="AO35">
        <v>2.4E-2</v>
      </c>
      <c r="AQ35" t="s">
        <v>129</v>
      </c>
      <c r="AR35" s="18">
        <v>43419</v>
      </c>
      <c r="AS35" s="19">
        <v>0.68055555555555558</v>
      </c>
      <c r="AT35">
        <v>4.3499999999999997E-2</v>
      </c>
      <c r="AU35">
        <v>4.5999999999999999E-2</v>
      </c>
      <c r="AV35">
        <v>4.8000000000000001E-2</v>
      </c>
      <c r="BE35" t="s">
        <v>133</v>
      </c>
      <c r="BF35" s="18">
        <v>43397</v>
      </c>
      <c r="BG35" s="19">
        <v>0.68680555555555556</v>
      </c>
      <c r="BH35">
        <v>0.1285</v>
      </c>
      <c r="BI35">
        <v>0.1933</v>
      </c>
      <c r="BJ35">
        <v>-0.01</v>
      </c>
      <c r="BL35" t="s">
        <v>133</v>
      </c>
      <c r="BM35" s="18">
        <v>43390</v>
      </c>
      <c r="BN35" s="19">
        <v>0.61527777777777781</v>
      </c>
      <c r="BO35">
        <v>17.7315</v>
      </c>
      <c r="BP35">
        <v>17.2</v>
      </c>
      <c r="BQ35">
        <v>17.123999999999999</v>
      </c>
      <c r="BS35" t="s">
        <v>132</v>
      </c>
      <c r="BT35" s="18">
        <v>43440</v>
      </c>
      <c r="BU35" s="19">
        <v>0.67708333333333337</v>
      </c>
      <c r="BV35">
        <v>0.30719999999999997</v>
      </c>
      <c r="BW35">
        <v>0.58499999999999996</v>
      </c>
      <c r="BX35">
        <v>0.55700000000000005</v>
      </c>
      <c r="BZ35" t="s">
        <v>133</v>
      </c>
      <c r="CA35" s="18">
        <v>43397</v>
      </c>
      <c r="CB35" s="19">
        <v>0.6875</v>
      </c>
      <c r="CC35">
        <v>9.4399999999999998E-2</v>
      </c>
      <c r="CD35">
        <v>0.13</v>
      </c>
      <c r="CE35">
        <v>0.124</v>
      </c>
      <c r="CG35" t="s">
        <v>132</v>
      </c>
      <c r="CH35" s="18">
        <v>43363</v>
      </c>
      <c r="CI35" s="19">
        <v>0.66736111111111107</v>
      </c>
      <c r="CJ35">
        <v>3.4807000000000001</v>
      </c>
      <c r="CK35">
        <v>3.53</v>
      </c>
      <c r="CL35">
        <v>3.3260000000000001</v>
      </c>
      <c r="CN35" t="s">
        <v>133</v>
      </c>
      <c r="CO35" s="18">
        <v>43398</v>
      </c>
      <c r="CP35" s="19">
        <v>0.66736111111111107</v>
      </c>
      <c r="CQ35">
        <v>0.11</v>
      </c>
      <c r="CR35">
        <v>0.1101</v>
      </c>
      <c r="CS35">
        <v>7.9000000000000001E-2</v>
      </c>
      <c r="DI35" t="s">
        <v>133</v>
      </c>
      <c r="DJ35" s="18">
        <v>43398</v>
      </c>
      <c r="DK35" s="19">
        <v>0.29166666666666669</v>
      </c>
      <c r="DL35">
        <v>-2.1999999999999999E-2</v>
      </c>
      <c r="DM35">
        <v>4.0000000000000001E-3</v>
      </c>
      <c r="DN35">
        <v>-4.0000000000000001E-3</v>
      </c>
      <c r="DP35" t="s">
        <v>131</v>
      </c>
      <c r="DQ35" s="18">
        <v>43419</v>
      </c>
      <c r="DR35" s="19">
        <v>0.67013888888888884</v>
      </c>
      <c r="DS35">
        <v>3.6999999999999998E-2</v>
      </c>
      <c r="DT35">
        <v>3.6999999999999998E-2</v>
      </c>
      <c r="DU35">
        <v>6.8000000000000005E-2</v>
      </c>
      <c r="DW35" t="s">
        <v>130</v>
      </c>
      <c r="DX35" s="18">
        <v>43451</v>
      </c>
      <c r="DY35" s="19">
        <v>0.66805555555555551</v>
      </c>
      <c r="DZ35">
        <v>0.6411</v>
      </c>
      <c r="EA35">
        <v>0.8</v>
      </c>
      <c r="EB35">
        <v>0.78300000000000003</v>
      </c>
      <c r="ED35" t="s">
        <v>129</v>
      </c>
      <c r="EE35" s="18">
        <v>43431</v>
      </c>
      <c r="EF35" s="19">
        <v>0.67013888888888884</v>
      </c>
      <c r="EG35">
        <v>6.6600000000000006E-2</v>
      </c>
      <c r="EH35">
        <v>0.61</v>
      </c>
      <c r="EI35">
        <v>0.501</v>
      </c>
      <c r="EK35" t="s">
        <v>132</v>
      </c>
      <c r="EL35" s="18">
        <v>43447</v>
      </c>
      <c r="EM35" s="19">
        <v>0.67013888888888884</v>
      </c>
      <c r="EN35">
        <v>1.3761000000000001</v>
      </c>
      <c r="EO35">
        <v>1.83</v>
      </c>
      <c r="EP35">
        <v>1.883</v>
      </c>
      <c r="ER35" t="s">
        <v>133</v>
      </c>
      <c r="ES35" s="18">
        <v>43397</v>
      </c>
      <c r="ET35" s="19">
        <v>0.67361111111111116</v>
      </c>
      <c r="EU35">
        <v>8.3999999999999995E-3</v>
      </c>
      <c r="EV35">
        <v>0.13600000000000001</v>
      </c>
      <c r="EW35">
        <v>0.11899999999999999</v>
      </c>
      <c r="EY35" t="s">
        <v>133</v>
      </c>
      <c r="EZ35" s="18">
        <v>43410</v>
      </c>
      <c r="FA35" s="19">
        <v>0.2673611111111111</v>
      </c>
      <c r="FB35">
        <v>1.1828000000000001</v>
      </c>
      <c r="FC35">
        <v>1.39</v>
      </c>
      <c r="FD35">
        <v>1.345</v>
      </c>
      <c r="FF35" t="s">
        <v>132</v>
      </c>
      <c r="FG35" s="18">
        <v>43480</v>
      </c>
      <c r="FH35" s="19">
        <v>0.24652777777777779</v>
      </c>
      <c r="FI35">
        <v>3.1</v>
      </c>
      <c r="FJ35">
        <v>3.28</v>
      </c>
      <c r="FK35">
        <v>3.2090000000000001</v>
      </c>
      <c r="FM35" t="s">
        <v>127</v>
      </c>
      <c r="FN35" s="18">
        <v>43935</v>
      </c>
      <c r="FO35" s="19">
        <v>0.28055555555555556</v>
      </c>
      <c r="FP35">
        <v>0.83020000000000005</v>
      </c>
      <c r="FQ35">
        <v>0.78</v>
      </c>
      <c r="FR35">
        <v>2.141</v>
      </c>
      <c r="FT35" t="s">
        <v>131</v>
      </c>
      <c r="FU35" s="18">
        <v>43447</v>
      </c>
      <c r="FV35" s="19">
        <v>0.67708333333333337</v>
      </c>
      <c r="FW35">
        <v>1.73</v>
      </c>
      <c r="FX35">
        <v>1.61</v>
      </c>
      <c r="FY35">
        <v>1.623</v>
      </c>
      <c r="GA35" t="s">
        <v>133</v>
      </c>
      <c r="GB35" s="18">
        <v>43406</v>
      </c>
      <c r="GC35" s="19">
        <v>0.33055555555555555</v>
      </c>
      <c r="GD35">
        <v>1.46</v>
      </c>
      <c r="GE35">
        <v>1.4610000000000001</v>
      </c>
      <c r="GF35">
        <v>1.222</v>
      </c>
    </row>
    <row r="36" spans="1:188" x14ac:dyDescent="0.3">
      <c r="A36" t="s">
        <v>133</v>
      </c>
      <c r="B36">
        <v>43312</v>
      </c>
      <c r="C36" s="19">
        <v>0.6875</v>
      </c>
      <c r="D36">
        <v>0.57679999999999998</v>
      </c>
      <c r="E36">
        <v>0.57509999999999994</v>
      </c>
      <c r="F36">
        <v>0.54600000000000004</v>
      </c>
      <c r="H36" t="s">
        <v>134</v>
      </c>
      <c r="I36" s="18">
        <v>43307</v>
      </c>
      <c r="J36" s="19">
        <v>0.66736111111111107</v>
      </c>
      <c r="K36">
        <v>0.2535</v>
      </c>
      <c r="L36">
        <v>0.2535</v>
      </c>
      <c r="M36">
        <v>0.124</v>
      </c>
      <c r="O36" t="s">
        <v>134</v>
      </c>
      <c r="P36" s="18">
        <v>43304</v>
      </c>
      <c r="Q36" s="19">
        <v>0.6694444444444444</v>
      </c>
      <c r="R36">
        <v>0.22700000000000001</v>
      </c>
      <c r="S36">
        <v>0.52900000000000003</v>
      </c>
      <c r="T36">
        <v>0.47499999999999998</v>
      </c>
      <c r="V36" t="s">
        <v>134</v>
      </c>
      <c r="W36" s="18">
        <v>43306</v>
      </c>
      <c r="X36" s="19">
        <v>0.67013888888888884</v>
      </c>
      <c r="Y36">
        <v>1.74</v>
      </c>
      <c r="Z36">
        <v>1.74</v>
      </c>
      <c r="AA36">
        <v>1.7150000000000001</v>
      </c>
      <c r="AC36" t="s">
        <v>132</v>
      </c>
      <c r="AD36" s="18">
        <v>43300</v>
      </c>
      <c r="AE36" s="19">
        <v>0.66874999999999996</v>
      </c>
      <c r="AF36">
        <v>0.93469999999999998</v>
      </c>
      <c r="AG36">
        <v>1.1299999999999999</v>
      </c>
      <c r="AH36">
        <v>1.077</v>
      </c>
      <c r="AJ36" t="s">
        <v>133</v>
      </c>
      <c r="AK36" s="18">
        <v>43389</v>
      </c>
      <c r="AL36" s="19">
        <v>0.67013888888888884</v>
      </c>
      <c r="AM36">
        <v>8.8999999999999996E-2</v>
      </c>
      <c r="AN36">
        <v>8.8999999999999996E-2</v>
      </c>
      <c r="AO36">
        <v>6.8000000000000005E-2</v>
      </c>
      <c r="AQ36" t="s">
        <v>130</v>
      </c>
      <c r="AR36" s="18">
        <v>43328</v>
      </c>
      <c r="AS36" s="19">
        <v>0.68055555555555558</v>
      </c>
      <c r="AT36">
        <v>4.3900000000000002E-2</v>
      </c>
      <c r="AU36">
        <v>4.8500000000000001E-2</v>
      </c>
      <c r="AV36">
        <v>4.5999999999999999E-2</v>
      </c>
      <c r="BE36" t="s">
        <v>134</v>
      </c>
      <c r="BF36" s="18">
        <v>43313</v>
      </c>
      <c r="BG36" s="19">
        <v>0.67638888888888893</v>
      </c>
      <c r="BH36">
        <v>-0.22869999999999999</v>
      </c>
      <c r="BI36">
        <v>-0.20399999999999999</v>
      </c>
      <c r="BJ36">
        <v>-0.19400000000000001</v>
      </c>
      <c r="BL36" t="s">
        <v>134</v>
      </c>
      <c r="BM36" s="18">
        <v>43299</v>
      </c>
      <c r="BO36">
        <v>14.3612</v>
      </c>
      <c r="BP36">
        <v>13.95</v>
      </c>
      <c r="BQ36">
        <v>13.872</v>
      </c>
      <c r="BS36" t="s">
        <v>133</v>
      </c>
      <c r="BT36" s="18">
        <v>43349</v>
      </c>
      <c r="BU36" s="19">
        <v>0.67708333333333337</v>
      </c>
      <c r="BV36">
        <v>0.28179999999999999</v>
      </c>
      <c r="BW36">
        <v>0.498</v>
      </c>
      <c r="BX36">
        <v>0.48299999999999998</v>
      </c>
      <c r="BZ36" t="s">
        <v>134</v>
      </c>
      <c r="CA36" s="18">
        <v>43306</v>
      </c>
      <c r="CB36" s="19">
        <v>0.69444444444444442</v>
      </c>
      <c r="CC36">
        <v>0.11</v>
      </c>
      <c r="CD36">
        <v>0.14000000000000001</v>
      </c>
      <c r="CE36">
        <v>0.128</v>
      </c>
      <c r="CG36" t="s">
        <v>133</v>
      </c>
      <c r="CH36" s="18">
        <v>43271</v>
      </c>
      <c r="CI36" s="19">
        <v>0.66736111111111107</v>
      </c>
      <c r="CJ36">
        <v>3.0341</v>
      </c>
      <c r="CK36">
        <v>3.15</v>
      </c>
      <c r="CL36">
        <v>3.1389999999999998</v>
      </c>
      <c r="CN36" t="s">
        <v>134</v>
      </c>
      <c r="CO36" s="18">
        <v>43307</v>
      </c>
      <c r="CP36" s="19">
        <v>0.66736111111111107</v>
      </c>
      <c r="CQ36">
        <v>4.2000000000000003E-2</v>
      </c>
      <c r="CR36">
        <v>6.5199999999999994E-2</v>
      </c>
      <c r="CS36">
        <v>5.2999999999999999E-2</v>
      </c>
      <c r="DI36" t="s">
        <v>134</v>
      </c>
      <c r="DJ36" s="18">
        <v>43312</v>
      </c>
      <c r="DK36" s="19">
        <v>0.29166666666666669</v>
      </c>
      <c r="DL36">
        <v>-2.3E-2</v>
      </c>
      <c r="DM36">
        <v>2E-3</v>
      </c>
      <c r="DN36">
        <v>-3.0000000000000001E-3</v>
      </c>
      <c r="DP36" t="s">
        <v>132</v>
      </c>
      <c r="DQ36" s="18">
        <v>43333</v>
      </c>
      <c r="DR36" s="19">
        <v>0.67708333333333337</v>
      </c>
      <c r="DS36">
        <v>4.7600000000000003E-2</v>
      </c>
      <c r="DT36">
        <v>0.05</v>
      </c>
      <c r="DU36">
        <v>5.3999999999999999E-2</v>
      </c>
      <c r="DW36" t="s">
        <v>131</v>
      </c>
      <c r="DX36" s="18">
        <v>43360</v>
      </c>
      <c r="DY36" s="19">
        <v>0.67013888888888884</v>
      </c>
      <c r="DZ36">
        <v>0.58550000000000002</v>
      </c>
      <c r="EA36">
        <v>0.71</v>
      </c>
      <c r="EB36">
        <v>0.68400000000000005</v>
      </c>
      <c r="ED36" t="s">
        <v>130</v>
      </c>
      <c r="EE36" s="18">
        <v>43341</v>
      </c>
      <c r="EF36" s="19">
        <v>0.67013888888888884</v>
      </c>
      <c r="EG36">
        <v>0.24399999999999999</v>
      </c>
      <c r="EH36">
        <v>0.71</v>
      </c>
      <c r="EI36">
        <v>0.47199999999999998</v>
      </c>
      <c r="EK36" t="s">
        <v>133</v>
      </c>
      <c r="EL36" s="18">
        <v>43356</v>
      </c>
      <c r="EM36" s="19">
        <v>0.67013888888888884</v>
      </c>
      <c r="EN36">
        <v>1.3357000000000001</v>
      </c>
      <c r="EO36">
        <v>1.73</v>
      </c>
      <c r="EP36">
        <v>1.69</v>
      </c>
      <c r="ER36" t="s">
        <v>134</v>
      </c>
      <c r="ES36" s="18">
        <v>43306</v>
      </c>
      <c r="ET36" s="19">
        <v>0.67361111111111116</v>
      </c>
      <c r="EU36">
        <v>-5.6300000000000003E-2</v>
      </c>
      <c r="EV36">
        <v>9.8000000000000004E-2</v>
      </c>
      <c r="EW36">
        <v>8.5000000000000006E-2</v>
      </c>
      <c r="EY36" t="s">
        <v>134</v>
      </c>
      <c r="EZ36" s="18">
        <v>43305</v>
      </c>
      <c r="FA36" s="19">
        <v>0.2673611111111111</v>
      </c>
      <c r="FB36">
        <v>1.3096000000000001</v>
      </c>
      <c r="FC36">
        <v>1.5</v>
      </c>
      <c r="FD36">
        <v>1.296</v>
      </c>
      <c r="FF36" t="s">
        <v>133</v>
      </c>
      <c r="FG36" s="18">
        <v>43389</v>
      </c>
      <c r="FH36" s="19">
        <v>0.24652777777777779</v>
      </c>
      <c r="FI36">
        <v>3.24</v>
      </c>
      <c r="FJ36">
        <v>3.41</v>
      </c>
      <c r="FK36">
        <v>3.2919999999999998</v>
      </c>
      <c r="FM36" t="s">
        <v>128</v>
      </c>
      <c r="FN36" s="18">
        <v>43844</v>
      </c>
      <c r="FO36" s="19">
        <v>0.29097222222222224</v>
      </c>
      <c r="FP36">
        <v>2.8759999999999999</v>
      </c>
      <c r="FQ36">
        <v>2.57</v>
      </c>
      <c r="FR36">
        <v>2.359</v>
      </c>
      <c r="FT36" t="s">
        <v>132</v>
      </c>
      <c r="FU36" s="18">
        <v>43377</v>
      </c>
      <c r="FV36" s="19">
        <v>0.67708333333333337</v>
      </c>
      <c r="FW36">
        <v>2.36</v>
      </c>
      <c r="FX36">
        <v>2.36</v>
      </c>
      <c r="FY36">
        <v>2.3580000000000001</v>
      </c>
      <c r="GA36" t="s">
        <v>134</v>
      </c>
      <c r="GB36" s="18">
        <v>43308</v>
      </c>
      <c r="GC36" s="19">
        <v>0.33333333333333331</v>
      </c>
      <c r="GD36">
        <v>0.92</v>
      </c>
      <c r="GE36">
        <v>0.92479999999999996</v>
      </c>
      <c r="GF36">
        <v>1.262</v>
      </c>
    </row>
    <row r="37" spans="1:188" x14ac:dyDescent="0.3">
      <c r="A37" t="s">
        <v>134</v>
      </c>
      <c r="B37">
        <v>43221</v>
      </c>
      <c r="C37" s="19">
        <v>0.6875</v>
      </c>
      <c r="D37">
        <v>0.68389999999999995</v>
      </c>
      <c r="E37">
        <v>0.68179999999999996</v>
      </c>
      <c r="F37">
        <v>0.66</v>
      </c>
      <c r="H37" t="s">
        <v>135</v>
      </c>
      <c r="I37" s="18">
        <v>43216</v>
      </c>
      <c r="J37" s="19">
        <v>0.66736111111111107</v>
      </c>
      <c r="K37">
        <v>0.16350000000000001</v>
      </c>
      <c r="L37">
        <v>0.16350000000000001</v>
      </c>
      <c r="M37">
        <v>6.3E-2</v>
      </c>
      <c r="O37" t="s">
        <v>135</v>
      </c>
      <c r="P37" s="18">
        <v>43213</v>
      </c>
      <c r="Q37" s="19">
        <v>0.66805555555555551</v>
      </c>
      <c r="R37">
        <v>0.66649999999999998</v>
      </c>
      <c r="S37">
        <v>0.66649999999999998</v>
      </c>
      <c r="T37">
        <v>0.46400000000000002</v>
      </c>
      <c r="V37" t="s">
        <v>135</v>
      </c>
      <c r="W37" s="18">
        <v>43215</v>
      </c>
      <c r="X37" s="19">
        <v>0.67013888888888884</v>
      </c>
      <c r="Y37">
        <v>1.69</v>
      </c>
      <c r="Z37">
        <v>1.69</v>
      </c>
      <c r="AA37">
        <v>1.3540000000000001</v>
      </c>
      <c r="AC37" t="s">
        <v>133</v>
      </c>
      <c r="AD37" s="18">
        <v>43216</v>
      </c>
      <c r="AE37" s="19">
        <v>0.67083333333333328</v>
      </c>
      <c r="AF37">
        <v>0.8982</v>
      </c>
      <c r="AG37">
        <v>0.95250000000000001</v>
      </c>
      <c r="AH37">
        <v>0.84899999999999998</v>
      </c>
      <c r="AJ37" t="s">
        <v>134</v>
      </c>
      <c r="AK37" s="18">
        <v>43297</v>
      </c>
      <c r="AL37" s="19">
        <v>0.67013888888888884</v>
      </c>
      <c r="AM37">
        <v>8.5000000000000006E-2</v>
      </c>
      <c r="AN37">
        <v>8.5000000000000006E-2</v>
      </c>
      <c r="AO37">
        <v>7.9000000000000001E-2</v>
      </c>
      <c r="AQ37" t="s">
        <v>131</v>
      </c>
      <c r="AR37" s="18">
        <v>43230</v>
      </c>
      <c r="AS37" s="19">
        <v>0.68055555555555558</v>
      </c>
      <c r="AT37">
        <v>4.9399999999999999E-2</v>
      </c>
      <c r="AU37">
        <v>5.1299999999999998E-2</v>
      </c>
      <c r="AV37">
        <v>4.1000000000000002E-2</v>
      </c>
      <c r="BE37" t="s">
        <v>135</v>
      </c>
      <c r="BF37" s="18">
        <v>43222</v>
      </c>
      <c r="BG37" s="19">
        <v>0.6743055555555556</v>
      </c>
      <c r="BH37">
        <v>-0.26340000000000002</v>
      </c>
      <c r="BI37">
        <v>-0.2233</v>
      </c>
      <c r="BJ37">
        <v>-0.22800000000000001</v>
      </c>
      <c r="BL37" t="s">
        <v>135</v>
      </c>
      <c r="BM37" s="18">
        <v>43207</v>
      </c>
      <c r="BO37">
        <v>17.176200000000001</v>
      </c>
      <c r="BP37">
        <v>17.3</v>
      </c>
      <c r="BQ37">
        <v>17.29</v>
      </c>
      <c r="BS37" t="s">
        <v>134</v>
      </c>
      <c r="BT37" s="18">
        <v>43258</v>
      </c>
      <c r="BU37" s="19">
        <v>0.66805555555555551</v>
      </c>
      <c r="BV37">
        <v>0.80149999999999999</v>
      </c>
      <c r="BW37">
        <v>0.48799999999999999</v>
      </c>
      <c r="BX37">
        <v>0.47</v>
      </c>
      <c r="BZ37" t="s">
        <v>135</v>
      </c>
      <c r="CA37" s="18">
        <v>43215</v>
      </c>
      <c r="CB37" s="19">
        <v>0.67708333333333337</v>
      </c>
      <c r="CC37">
        <v>8.1000000000000003E-2</v>
      </c>
      <c r="CD37">
        <v>0.11</v>
      </c>
      <c r="CE37">
        <v>8.6999999999999994E-2</v>
      </c>
      <c r="CG37" t="s">
        <v>134</v>
      </c>
      <c r="CH37" s="18">
        <v>43181</v>
      </c>
      <c r="CI37" s="19">
        <v>0.66666666666666663</v>
      </c>
      <c r="CJ37">
        <v>2.7938000000000001</v>
      </c>
      <c r="CK37">
        <v>2.82</v>
      </c>
      <c r="CL37">
        <v>2.742</v>
      </c>
      <c r="CN37" t="s">
        <v>135</v>
      </c>
      <c r="CO37" s="18">
        <v>43216</v>
      </c>
      <c r="CP37" s="19">
        <v>0.67013888888888884</v>
      </c>
      <c r="CQ37">
        <v>1.4999999999999999E-2</v>
      </c>
      <c r="CR37">
        <v>4.7199999999999999E-2</v>
      </c>
      <c r="CS37">
        <v>2.7E-2</v>
      </c>
      <c r="DI37" t="s">
        <v>135</v>
      </c>
      <c r="DJ37" s="18">
        <v>43221</v>
      </c>
      <c r="DK37" s="19">
        <v>0.29652777777777778</v>
      </c>
      <c r="DL37">
        <v>-1.6E-2</v>
      </c>
      <c r="DM37">
        <v>4.0000000000000001E-3</v>
      </c>
      <c r="DN37">
        <v>-5.0000000000000001E-3</v>
      </c>
      <c r="DP37" t="s">
        <v>133</v>
      </c>
      <c r="DQ37" s="18">
        <v>43223</v>
      </c>
      <c r="DR37" s="19">
        <v>0.67013888888888884</v>
      </c>
      <c r="DS37">
        <v>2.8000000000000001E-2</v>
      </c>
      <c r="DT37">
        <v>2.8000000000000001E-2</v>
      </c>
      <c r="DU37">
        <v>4.2000000000000003E-2</v>
      </c>
      <c r="DW37" t="s">
        <v>132</v>
      </c>
      <c r="DX37" s="18">
        <v>43270</v>
      </c>
      <c r="DY37" s="19">
        <v>0.66805555555555551</v>
      </c>
      <c r="DZ37">
        <v>0.81489999999999996</v>
      </c>
      <c r="EA37">
        <v>0.99</v>
      </c>
      <c r="EB37">
        <v>0.94099999999999995</v>
      </c>
      <c r="ED37" t="s">
        <v>131</v>
      </c>
      <c r="EE37" s="18">
        <v>43249</v>
      </c>
      <c r="EF37" s="19">
        <v>0.67013888888888884</v>
      </c>
      <c r="EG37">
        <v>0.2389</v>
      </c>
      <c r="EH37">
        <v>0.74</v>
      </c>
      <c r="EI37">
        <v>0.45400000000000001</v>
      </c>
      <c r="EK37" t="s">
        <v>134</v>
      </c>
      <c r="EL37" s="18">
        <v>43265</v>
      </c>
      <c r="EM37" s="19">
        <v>0.67013888888888884</v>
      </c>
      <c r="EN37">
        <v>1.3280000000000001</v>
      </c>
      <c r="EO37">
        <v>1.66</v>
      </c>
      <c r="EP37">
        <v>1.542</v>
      </c>
      <c r="ER37" t="s">
        <v>135</v>
      </c>
      <c r="ES37" s="18">
        <v>43215</v>
      </c>
      <c r="ET37" s="19">
        <v>0.67361111111111116</v>
      </c>
      <c r="EU37">
        <v>1.26E-2</v>
      </c>
      <c r="EV37">
        <v>0.112</v>
      </c>
      <c r="EW37">
        <v>7.3999999999999996E-2</v>
      </c>
      <c r="EY37" t="s">
        <v>135</v>
      </c>
      <c r="EZ37" s="18">
        <v>43214</v>
      </c>
      <c r="FA37" s="19">
        <v>0.2673611111111111</v>
      </c>
      <c r="FB37">
        <v>1.1489</v>
      </c>
      <c r="FC37">
        <v>1.34</v>
      </c>
      <c r="FD37">
        <v>1.135</v>
      </c>
      <c r="FF37" t="s">
        <v>134</v>
      </c>
      <c r="FG37" s="18">
        <v>43298</v>
      </c>
      <c r="FH37" s="19">
        <v>0.24652777777777779</v>
      </c>
      <c r="FI37">
        <v>2.98</v>
      </c>
      <c r="FJ37">
        <v>3.14</v>
      </c>
      <c r="FK37">
        <v>3.0350000000000001</v>
      </c>
      <c r="FM37" t="s">
        <v>129</v>
      </c>
      <c r="FN37" s="18">
        <v>43753</v>
      </c>
      <c r="FO37" s="19">
        <v>0.28472222222222221</v>
      </c>
      <c r="FP37">
        <v>2.6825000000000001</v>
      </c>
      <c r="FQ37">
        <v>2.6858</v>
      </c>
      <c r="FR37">
        <v>2.456</v>
      </c>
      <c r="FT37" t="s">
        <v>133</v>
      </c>
      <c r="FU37" s="18">
        <v>43251</v>
      </c>
      <c r="FV37" s="19">
        <v>0.67708333333333337</v>
      </c>
      <c r="FW37">
        <v>1.7</v>
      </c>
      <c r="FX37">
        <v>1.7</v>
      </c>
      <c r="FY37">
        <v>1.6879999999999999</v>
      </c>
      <c r="GA37" t="s">
        <v>135</v>
      </c>
      <c r="GB37" s="18">
        <v>43217</v>
      </c>
      <c r="GC37" s="19">
        <v>0.33333333333333331</v>
      </c>
      <c r="GD37">
        <v>1.0900000000000001</v>
      </c>
      <c r="GE37">
        <v>1.089</v>
      </c>
      <c r="GF37">
        <v>1.103</v>
      </c>
    </row>
    <row r="38" spans="1:188" x14ac:dyDescent="0.3">
      <c r="A38" t="s">
        <v>135</v>
      </c>
      <c r="B38">
        <v>43132</v>
      </c>
      <c r="C38" s="19">
        <v>0.6875</v>
      </c>
      <c r="D38">
        <v>0.96879999999999999</v>
      </c>
      <c r="E38">
        <v>0.97260000000000002</v>
      </c>
      <c r="F38">
        <v>0.96099999999999997</v>
      </c>
      <c r="H38" t="s">
        <v>136</v>
      </c>
      <c r="I38" s="18">
        <v>43132</v>
      </c>
      <c r="J38" s="19">
        <v>0.66736111111111107</v>
      </c>
      <c r="K38">
        <v>0.1875</v>
      </c>
      <c r="L38">
        <v>0.1075</v>
      </c>
      <c r="M38">
        <v>9.1999999999999998E-2</v>
      </c>
      <c r="O38" t="s">
        <v>136</v>
      </c>
      <c r="P38" s="18">
        <v>43132</v>
      </c>
      <c r="Q38" s="19">
        <v>0.66805555555555551</v>
      </c>
      <c r="R38">
        <v>-0.2175</v>
      </c>
      <c r="S38">
        <v>0.48499999999999999</v>
      </c>
      <c r="T38">
        <v>0.502</v>
      </c>
      <c r="V38" t="s">
        <v>136</v>
      </c>
      <c r="W38" s="18">
        <v>43131</v>
      </c>
      <c r="X38" s="19">
        <v>0.67013888888888884</v>
      </c>
      <c r="Y38">
        <v>1.44</v>
      </c>
      <c r="Z38">
        <v>2.21</v>
      </c>
      <c r="AA38">
        <v>1.946</v>
      </c>
      <c r="AC38" t="s">
        <v>134</v>
      </c>
      <c r="AD38" s="18">
        <v>43131</v>
      </c>
      <c r="AE38" s="19">
        <v>0.67083333333333328</v>
      </c>
      <c r="AF38">
        <v>0.94810000000000005</v>
      </c>
      <c r="AG38">
        <v>0.96</v>
      </c>
      <c r="AH38">
        <v>0.86199999999999999</v>
      </c>
      <c r="AJ38" t="s">
        <v>135</v>
      </c>
      <c r="AK38" s="18">
        <v>43206</v>
      </c>
      <c r="AL38" s="19">
        <v>0.6791666666666667</v>
      </c>
      <c r="AM38">
        <v>6.4000000000000001E-2</v>
      </c>
      <c r="AN38">
        <v>6.4000000000000001E-2</v>
      </c>
      <c r="AO38">
        <v>6.4000000000000001E-2</v>
      </c>
      <c r="AQ38" t="s">
        <v>132</v>
      </c>
      <c r="AR38" s="18">
        <v>43139</v>
      </c>
      <c r="AS38" s="19">
        <v>0.68055555555555558</v>
      </c>
      <c r="AT38">
        <v>3.9199999999999999E-2</v>
      </c>
      <c r="AU38">
        <v>4.2999999999999997E-2</v>
      </c>
      <c r="AV38">
        <v>3.2000000000000001E-2</v>
      </c>
      <c r="BE38" t="s">
        <v>136</v>
      </c>
      <c r="BF38" s="18">
        <v>43138</v>
      </c>
      <c r="BG38" s="19">
        <v>0.67569444444444449</v>
      </c>
      <c r="BH38">
        <v>-0.2445</v>
      </c>
      <c r="BI38">
        <v>-0.20269999999999999</v>
      </c>
      <c r="BJ38">
        <v>-0.21299999999999999</v>
      </c>
      <c r="BL38" t="s">
        <v>259</v>
      </c>
      <c r="BM38" s="18">
        <v>43118</v>
      </c>
      <c r="BN38" s="19">
        <v>0.56527777777777777</v>
      </c>
      <c r="BO38">
        <v>65.945899999999995</v>
      </c>
      <c r="BP38">
        <v>66.150000000000006</v>
      </c>
      <c r="BQ38">
        <v>65.721000000000004</v>
      </c>
      <c r="BS38" t="s">
        <v>135</v>
      </c>
      <c r="BT38" s="18">
        <v>43174</v>
      </c>
      <c r="BU38" s="19">
        <v>0.66805555555555551</v>
      </c>
      <c r="BV38">
        <v>0.17050000000000001</v>
      </c>
      <c r="BW38">
        <v>0.51200000000000001</v>
      </c>
      <c r="BX38">
        <v>0.505</v>
      </c>
      <c r="BZ38" t="s">
        <v>136</v>
      </c>
      <c r="CA38" s="18">
        <v>43130</v>
      </c>
      <c r="CB38" s="19">
        <v>0.67013888888888884</v>
      </c>
      <c r="CC38">
        <v>-1.89E-2</v>
      </c>
      <c r="CD38">
        <v>0.08</v>
      </c>
      <c r="CE38">
        <v>4.9000000000000002E-2</v>
      </c>
      <c r="CG38" t="s">
        <v>135</v>
      </c>
      <c r="CH38" s="18">
        <v>43088</v>
      </c>
      <c r="CI38" s="19">
        <v>0.66666666666666663</v>
      </c>
      <c r="CJ38">
        <v>2.4089999999999998</v>
      </c>
      <c r="CK38">
        <v>2.4500000000000002</v>
      </c>
      <c r="CL38">
        <v>2.2130000000000001</v>
      </c>
      <c r="CN38" t="s">
        <v>136</v>
      </c>
      <c r="CO38" s="18">
        <v>43125</v>
      </c>
      <c r="CP38" s="19">
        <v>0.67013888888888884</v>
      </c>
      <c r="CQ38">
        <v>0.16139999999999999</v>
      </c>
      <c r="CR38">
        <v>0.15529999999999999</v>
      </c>
      <c r="CS38">
        <v>0.13300000000000001</v>
      </c>
      <c r="DI38" t="s">
        <v>136</v>
      </c>
      <c r="DJ38" s="18">
        <v>43146</v>
      </c>
      <c r="DK38" s="19">
        <v>0.29166666666666669</v>
      </c>
      <c r="DL38">
        <v>-3.0000000000000001E-3</v>
      </c>
      <c r="DM38">
        <v>1.4999999999999999E-2</v>
      </c>
      <c r="DN38">
        <v>5.0000000000000001E-3</v>
      </c>
      <c r="DP38" t="s">
        <v>134</v>
      </c>
      <c r="DQ38" s="18">
        <v>43130</v>
      </c>
      <c r="DR38" s="19">
        <v>0.67013888888888884</v>
      </c>
      <c r="DS38">
        <v>-2E-3</v>
      </c>
      <c r="DT38">
        <v>-2E-3</v>
      </c>
      <c r="DU38">
        <v>4.3999999999999997E-2</v>
      </c>
      <c r="DW38" t="s">
        <v>133</v>
      </c>
      <c r="DX38" s="18">
        <v>43178</v>
      </c>
      <c r="DY38" s="19">
        <v>0.66805555555555551</v>
      </c>
      <c r="DZ38">
        <v>0.70040000000000002</v>
      </c>
      <c r="EA38">
        <v>0.83</v>
      </c>
      <c r="EB38">
        <v>0.72299999999999998</v>
      </c>
      <c r="ED38" t="s">
        <v>132</v>
      </c>
      <c r="EE38" s="18">
        <v>43159</v>
      </c>
      <c r="EF38" s="19">
        <v>0.67013888888888884</v>
      </c>
      <c r="EG38">
        <v>0.25950000000000001</v>
      </c>
      <c r="EH38">
        <v>0.35</v>
      </c>
      <c r="EI38">
        <v>0.33500000000000002</v>
      </c>
      <c r="EK38" t="s">
        <v>135</v>
      </c>
      <c r="EL38" s="18">
        <v>43174</v>
      </c>
      <c r="EM38" s="19">
        <v>0.67013888888888884</v>
      </c>
      <c r="EN38">
        <v>1.1835</v>
      </c>
      <c r="EO38">
        <v>1.55</v>
      </c>
      <c r="EP38">
        <v>1.4379999999999999</v>
      </c>
      <c r="ER38" t="s">
        <v>136</v>
      </c>
      <c r="ES38" s="18">
        <v>43131</v>
      </c>
      <c r="ET38" s="19">
        <v>0.67361111111111116</v>
      </c>
      <c r="EU38">
        <v>-1.9199999999999998E-2</v>
      </c>
      <c r="EV38">
        <v>7.0000000000000007E-2</v>
      </c>
      <c r="EW38">
        <v>7.0000000000000007E-2</v>
      </c>
      <c r="EY38" t="s">
        <v>136</v>
      </c>
      <c r="EZ38" s="18">
        <v>43131</v>
      </c>
      <c r="FA38" s="19">
        <v>0.2673611111111111</v>
      </c>
      <c r="FB38">
        <v>1.0354000000000001</v>
      </c>
      <c r="FC38">
        <v>1.1399999999999999</v>
      </c>
      <c r="FD38">
        <v>1.0740000000000001</v>
      </c>
      <c r="FF38" t="s">
        <v>135</v>
      </c>
      <c r="FG38" s="18">
        <v>43207</v>
      </c>
      <c r="FH38" s="19">
        <v>0.24652777777777779</v>
      </c>
      <c r="FI38">
        <v>2.87</v>
      </c>
      <c r="FJ38">
        <v>3.04</v>
      </c>
      <c r="FK38">
        <v>2.8940000000000001</v>
      </c>
      <c r="FM38" t="s">
        <v>130</v>
      </c>
      <c r="FN38" s="18">
        <v>43662</v>
      </c>
      <c r="FO38" s="19">
        <v>0.28194444444444444</v>
      </c>
      <c r="FP38">
        <v>2.6011000000000002</v>
      </c>
      <c r="FQ38">
        <v>2.59</v>
      </c>
      <c r="FR38">
        <v>2.4980000000000002</v>
      </c>
      <c r="FT38" t="s">
        <v>134</v>
      </c>
      <c r="FU38" s="18">
        <v>43166</v>
      </c>
      <c r="FV38" s="19">
        <v>0.67708333333333337</v>
      </c>
      <c r="FW38">
        <v>1.59</v>
      </c>
      <c r="FX38">
        <v>1.4198999999999999</v>
      </c>
      <c r="FY38">
        <v>1.4890000000000001</v>
      </c>
      <c r="GA38" t="s">
        <v>136</v>
      </c>
      <c r="GB38" s="18">
        <v>43133</v>
      </c>
      <c r="GC38" s="19">
        <v>0.33333333333333331</v>
      </c>
      <c r="GD38">
        <v>0.874</v>
      </c>
      <c r="GE38">
        <v>0.88</v>
      </c>
      <c r="GF38">
        <v>1.03</v>
      </c>
    </row>
    <row r="39" spans="1:188" x14ac:dyDescent="0.3">
      <c r="A39" t="s">
        <v>136</v>
      </c>
      <c r="B39">
        <v>43041</v>
      </c>
      <c r="C39" s="19">
        <v>0.6875</v>
      </c>
      <c r="D39">
        <v>0.4955</v>
      </c>
      <c r="E39">
        <v>0.51670000000000005</v>
      </c>
      <c r="F39">
        <v>0.46800000000000003</v>
      </c>
      <c r="H39" t="s">
        <v>137</v>
      </c>
      <c r="I39" s="18">
        <v>43034</v>
      </c>
      <c r="J39" s="19">
        <v>0.66736111111111107</v>
      </c>
      <c r="K39">
        <v>2.5999999999999999E-2</v>
      </c>
      <c r="L39">
        <v>2.5999999999999999E-2</v>
      </c>
      <c r="M39">
        <v>2E-3</v>
      </c>
      <c r="O39" t="s">
        <v>137</v>
      </c>
      <c r="P39" s="18">
        <v>43034</v>
      </c>
      <c r="Q39" s="19">
        <v>0.67013888888888884</v>
      </c>
      <c r="R39">
        <v>0.47849999999999998</v>
      </c>
      <c r="S39">
        <v>0.47849999999999998</v>
      </c>
      <c r="T39">
        <v>0.41699999999999998</v>
      </c>
      <c r="V39" t="s">
        <v>137</v>
      </c>
      <c r="W39" s="18">
        <v>43040</v>
      </c>
      <c r="X39" s="19">
        <v>0.67013888888888884</v>
      </c>
      <c r="Y39">
        <v>1.59</v>
      </c>
      <c r="Z39">
        <v>1.59</v>
      </c>
      <c r="AA39">
        <v>1.28</v>
      </c>
      <c r="AC39" t="s">
        <v>135</v>
      </c>
      <c r="AD39" s="18">
        <v>43034</v>
      </c>
      <c r="AE39" s="19">
        <v>0.67013888888888884</v>
      </c>
      <c r="AF39">
        <v>0.79220000000000002</v>
      </c>
      <c r="AG39">
        <v>0.84319999999999995</v>
      </c>
      <c r="AH39">
        <v>0.71799999999999997</v>
      </c>
      <c r="AJ39" t="s">
        <v>136</v>
      </c>
      <c r="AK39" s="18">
        <v>43122</v>
      </c>
      <c r="AL39" s="19">
        <v>0.67013888888888884</v>
      </c>
      <c r="AM39">
        <v>4.1000000000000002E-2</v>
      </c>
      <c r="AN39">
        <v>4.1000000000000002E-2</v>
      </c>
      <c r="AO39">
        <v>4.1000000000000002E-2</v>
      </c>
      <c r="AQ39" t="s">
        <v>133</v>
      </c>
      <c r="AR39" s="18">
        <v>43048</v>
      </c>
      <c r="AS39" s="19">
        <v>0.68055555555555558</v>
      </c>
      <c r="AT39">
        <v>3.3300000000000003E-2</v>
      </c>
      <c r="AU39">
        <v>3.3000000000000002E-2</v>
      </c>
      <c r="AV39">
        <v>2.7E-2</v>
      </c>
      <c r="BE39" t="s">
        <v>137</v>
      </c>
      <c r="BF39" s="18">
        <v>43040</v>
      </c>
      <c r="BG39" s="19">
        <v>0.6791666666666667</v>
      </c>
      <c r="BH39">
        <v>-0.23799999999999999</v>
      </c>
      <c r="BI39">
        <v>-0.19470000000000001</v>
      </c>
      <c r="BJ39">
        <v>-0.151</v>
      </c>
      <c r="BL39" t="s">
        <v>137</v>
      </c>
      <c r="BM39" s="18">
        <v>43026</v>
      </c>
      <c r="BO39">
        <v>17.210599999999999</v>
      </c>
      <c r="BP39">
        <v>17.350000000000001</v>
      </c>
      <c r="BQ39">
        <v>16.922999999999998</v>
      </c>
      <c r="BS39" t="s">
        <v>136</v>
      </c>
      <c r="BT39" s="18">
        <v>43075</v>
      </c>
      <c r="BU39" s="19">
        <v>0.67013888888888884</v>
      </c>
      <c r="BV39">
        <v>0.16950000000000001</v>
      </c>
      <c r="BW39">
        <v>0.45900000000000002</v>
      </c>
      <c r="BX39">
        <v>0.45300000000000001</v>
      </c>
      <c r="BZ39" t="s">
        <v>137</v>
      </c>
      <c r="CA39" s="18">
        <v>43032</v>
      </c>
      <c r="CB39" s="19">
        <v>0.68125000000000002</v>
      </c>
      <c r="CC39">
        <v>6.1899999999999997E-2</v>
      </c>
      <c r="CD39">
        <v>0.1</v>
      </c>
      <c r="CE39">
        <v>7.8E-2</v>
      </c>
      <c r="CG39" t="s">
        <v>136</v>
      </c>
      <c r="CH39" s="18">
        <v>43004</v>
      </c>
      <c r="CI39" s="19">
        <v>0.66666666666666663</v>
      </c>
      <c r="CJ39">
        <v>1.9782999999999999</v>
      </c>
      <c r="CK39">
        <v>2.02</v>
      </c>
      <c r="CL39">
        <v>1.84</v>
      </c>
      <c r="CN39" t="s">
        <v>137</v>
      </c>
      <c r="CO39" s="18">
        <v>43034</v>
      </c>
      <c r="CP39" s="19">
        <v>0.67013888888888884</v>
      </c>
      <c r="CQ39">
        <v>0.158</v>
      </c>
      <c r="CR39">
        <v>0.17660000000000001</v>
      </c>
      <c r="CS39">
        <v>0.122</v>
      </c>
      <c r="DI39" t="s">
        <v>137</v>
      </c>
      <c r="DJ39" s="18">
        <v>43039</v>
      </c>
      <c r="DK39" s="19">
        <v>0.29166666666666669</v>
      </c>
      <c r="DL39">
        <v>-8.9999999999999993E-3</v>
      </c>
      <c r="DM39">
        <v>5.0000000000000001E-3</v>
      </c>
      <c r="DN39">
        <v>-2E-3</v>
      </c>
      <c r="DP39" t="s">
        <v>135</v>
      </c>
      <c r="DQ39" s="18">
        <v>43034</v>
      </c>
      <c r="DS39">
        <v>1.2E-2</v>
      </c>
      <c r="DT39">
        <v>1.2E-2</v>
      </c>
      <c r="DU39">
        <v>2.8000000000000001E-2</v>
      </c>
      <c r="DW39" t="s">
        <v>134</v>
      </c>
      <c r="DX39" s="18">
        <v>43083</v>
      </c>
      <c r="DY39" s="19">
        <v>0.66666666666666663</v>
      </c>
      <c r="DZ39">
        <v>0.56759999999999999</v>
      </c>
      <c r="EA39">
        <v>0.7</v>
      </c>
      <c r="EB39">
        <v>0.68200000000000005</v>
      </c>
      <c r="ED39" t="s">
        <v>133</v>
      </c>
      <c r="EE39" s="18">
        <v>43060</v>
      </c>
      <c r="EF39" s="19">
        <v>0.67013888888888884</v>
      </c>
      <c r="EG39">
        <v>0.1391</v>
      </c>
      <c r="EH39">
        <v>0.39</v>
      </c>
      <c r="EI39">
        <v>0.36599999999999999</v>
      </c>
      <c r="EK39" t="s">
        <v>136</v>
      </c>
      <c r="EL39" s="18">
        <v>43083</v>
      </c>
      <c r="EM39" s="19">
        <v>0.67013888888888884</v>
      </c>
      <c r="EN39">
        <v>0.99560000000000004</v>
      </c>
      <c r="EO39">
        <v>1.26</v>
      </c>
      <c r="EP39">
        <v>1.157</v>
      </c>
      <c r="ER39" t="s">
        <v>137</v>
      </c>
      <c r="ES39" s="18">
        <v>43033</v>
      </c>
      <c r="ET39" s="19">
        <v>0.67361111111111116</v>
      </c>
      <c r="EU39">
        <v>-2.5899999999999999E-2</v>
      </c>
      <c r="EV39">
        <v>7.5999999999999998E-2</v>
      </c>
      <c r="EW39">
        <v>6.3E-2</v>
      </c>
      <c r="EY39" t="s">
        <v>137</v>
      </c>
      <c r="EZ39" s="18">
        <v>43032</v>
      </c>
      <c r="FA39" s="19">
        <v>0.2673611111111111</v>
      </c>
      <c r="FB39">
        <v>0.94699999999999995</v>
      </c>
      <c r="FC39">
        <v>1.05</v>
      </c>
      <c r="FD39">
        <v>1.028</v>
      </c>
      <c r="FF39" t="s">
        <v>136</v>
      </c>
      <c r="FG39" s="18">
        <v>43116</v>
      </c>
      <c r="FH39" s="19">
        <v>0.24652777777777779</v>
      </c>
      <c r="FI39">
        <v>2.4420000000000002</v>
      </c>
      <c r="FJ39">
        <v>2.59</v>
      </c>
      <c r="FK39">
        <v>2.5150000000000001</v>
      </c>
      <c r="FM39" t="s">
        <v>131</v>
      </c>
      <c r="FN39" s="18">
        <v>43567</v>
      </c>
      <c r="FO39" s="19">
        <v>0.28263888888888888</v>
      </c>
      <c r="FP39">
        <v>2.6307</v>
      </c>
      <c r="FQ39">
        <v>2.5853999999999999</v>
      </c>
      <c r="FR39">
        <v>2.3530000000000002</v>
      </c>
      <c r="FT39" t="s">
        <v>135</v>
      </c>
      <c r="FU39" s="18">
        <v>43083</v>
      </c>
      <c r="FV39" s="19">
        <v>0.67708333333333337</v>
      </c>
      <c r="FW39">
        <v>1.45</v>
      </c>
      <c r="FX39">
        <v>1.3616999999999999</v>
      </c>
      <c r="FY39">
        <v>1.341</v>
      </c>
      <c r="GA39" t="s">
        <v>137</v>
      </c>
      <c r="GB39" s="18">
        <v>43035</v>
      </c>
      <c r="GC39" s="19">
        <v>0.33333333333333331</v>
      </c>
      <c r="GD39">
        <v>0.93</v>
      </c>
      <c r="GE39">
        <v>0.92949999999999999</v>
      </c>
      <c r="GF39">
        <v>0.87</v>
      </c>
    </row>
    <row r="40" spans="1:188" x14ac:dyDescent="0.3">
      <c r="A40" t="s">
        <v>137</v>
      </c>
      <c r="B40">
        <v>42948</v>
      </c>
      <c r="C40" s="19">
        <v>0.6875</v>
      </c>
      <c r="D40">
        <v>0.41599999999999998</v>
      </c>
      <c r="E40">
        <v>0.41639999999999999</v>
      </c>
      <c r="F40">
        <v>0.39400000000000002</v>
      </c>
      <c r="H40" t="s">
        <v>138</v>
      </c>
      <c r="I40" s="18">
        <v>42943</v>
      </c>
      <c r="J40" s="19">
        <v>0.66736111111111107</v>
      </c>
      <c r="K40">
        <v>0.02</v>
      </c>
      <c r="L40">
        <v>0.02</v>
      </c>
      <c r="M40">
        <v>7.0999999999999994E-2</v>
      </c>
      <c r="O40" t="s">
        <v>138</v>
      </c>
      <c r="P40" s="18">
        <v>42940</v>
      </c>
      <c r="Q40" s="19">
        <v>0.66805555555555551</v>
      </c>
      <c r="R40">
        <v>0.2505</v>
      </c>
      <c r="S40">
        <v>0.2505</v>
      </c>
      <c r="T40">
        <v>0.223</v>
      </c>
      <c r="V40" t="s">
        <v>138</v>
      </c>
      <c r="W40" s="18">
        <v>42942</v>
      </c>
      <c r="X40" s="19">
        <v>0.67013888888888884</v>
      </c>
      <c r="Y40">
        <v>1.32</v>
      </c>
      <c r="Z40">
        <v>1.32</v>
      </c>
      <c r="AA40">
        <v>1.131</v>
      </c>
      <c r="AC40" t="s">
        <v>136</v>
      </c>
      <c r="AD40" s="18">
        <v>42936</v>
      </c>
      <c r="AE40" s="19">
        <v>0.67222222222222228</v>
      </c>
      <c r="AF40">
        <v>0.91180000000000005</v>
      </c>
      <c r="AG40">
        <v>0.75</v>
      </c>
      <c r="AH40">
        <v>0.70799999999999996</v>
      </c>
      <c r="AJ40" t="s">
        <v>137</v>
      </c>
      <c r="AK40" s="18">
        <v>43024</v>
      </c>
      <c r="AL40" s="19">
        <v>0.67013888888888884</v>
      </c>
      <c r="AM40">
        <v>2.9000000000000001E-2</v>
      </c>
      <c r="AN40">
        <v>2.9000000000000001E-2</v>
      </c>
      <c r="AO40">
        <v>3.2000000000000001E-2</v>
      </c>
      <c r="AQ40" t="s">
        <v>134</v>
      </c>
      <c r="AR40" s="18">
        <v>42957</v>
      </c>
      <c r="AS40" s="19">
        <v>0.67986111111111114</v>
      </c>
      <c r="AT40">
        <v>2.3199999999999998E-2</v>
      </c>
      <c r="AU40">
        <v>2.53E-2</v>
      </c>
      <c r="AV40">
        <v>0.02</v>
      </c>
      <c r="BE40" t="s">
        <v>138</v>
      </c>
      <c r="BF40" s="18">
        <v>42949</v>
      </c>
      <c r="BG40" s="19">
        <v>0.67500000000000004</v>
      </c>
      <c r="BH40">
        <v>-0.13270000000000001</v>
      </c>
      <c r="BI40">
        <v>-8.8700000000000001E-2</v>
      </c>
      <c r="BJ40">
        <v>-0.124</v>
      </c>
      <c r="BL40" t="s">
        <v>138</v>
      </c>
      <c r="BM40" s="18">
        <v>42928</v>
      </c>
      <c r="BN40" s="19">
        <v>0.78680555555555554</v>
      </c>
      <c r="BO40">
        <v>12.6137</v>
      </c>
      <c r="BP40">
        <v>12.8</v>
      </c>
      <c r="BQ40">
        <v>13.194000000000001</v>
      </c>
      <c r="BS40" t="s">
        <v>137</v>
      </c>
      <c r="BT40" s="18">
        <v>42971</v>
      </c>
      <c r="BU40" s="19">
        <v>0.67013888888888884</v>
      </c>
      <c r="BV40">
        <v>0.12790000000000001</v>
      </c>
      <c r="BW40">
        <v>0.41</v>
      </c>
      <c r="BX40">
        <v>0.40200000000000002</v>
      </c>
      <c r="BZ40" t="s">
        <v>138</v>
      </c>
      <c r="CA40" s="18">
        <v>42941</v>
      </c>
      <c r="CB40" s="19">
        <v>0.67708333333333337</v>
      </c>
      <c r="CC40">
        <v>-4.24E-2</v>
      </c>
      <c r="CD40">
        <v>0.02</v>
      </c>
      <c r="CE40">
        <v>1E-3</v>
      </c>
      <c r="CG40" t="s">
        <v>137</v>
      </c>
      <c r="CH40" s="18">
        <v>42915</v>
      </c>
      <c r="CI40" s="19">
        <v>0.66666666666666663</v>
      </c>
      <c r="CJ40">
        <v>1.5505</v>
      </c>
      <c r="CK40">
        <v>1.62</v>
      </c>
      <c r="CL40">
        <v>1.5149999999999999</v>
      </c>
      <c r="CN40" t="s">
        <v>138</v>
      </c>
      <c r="CO40" s="18">
        <v>42943</v>
      </c>
      <c r="CP40" s="19">
        <v>0.67013888888888884</v>
      </c>
      <c r="CQ40">
        <v>8.5999999999999993E-2</v>
      </c>
      <c r="CR40">
        <v>9.5500000000000002E-2</v>
      </c>
      <c r="CS40">
        <v>0.17199999999999999</v>
      </c>
      <c r="DI40" t="s">
        <v>138</v>
      </c>
      <c r="DJ40" s="18">
        <v>42948</v>
      </c>
      <c r="DK40" s="19">
        <v>0.29166666666666669</v>
      </c>
      <c r="DL40">
        <v>-1.4999999999999999E-2</v>
      </c>
      <c r="DM40">
        <v>-1E-3</v>
      </c>
      <c r="DN40">
        <v>-7.0000000000000001E-3</v>
      </c>
      <c r="DP40" t="s">
        <v>136</v>
      </c>
      <c r="DQ40" s="18">
        <v>42950</v>
      </c>
      <c r="DR40" s="19">
        <v>0.67013888888888884</v>
      </c>
      <c r="DS40">
        <v>0.03</v>
      </c>
      <c r="DT40">
        <v>0.39</v>
      </c>
      <c r="DU40">
        <v>3.5999999999999997E-2</v>
      </c>
      <c r="DW40" t="s">
        <v>135</v>
      </c>
      <c r="DX40" s="18">
        <v>42992</v>
      </c>
      <c r="DY40" s="19">
        <v>0.66736111111111107</v>
      </c>
      <c r="DZ40">
        <v>0.51490000000000002</v>
      </c>
      <c r="EA40">
        <v>0.62</v>
      </c>
      <c r="EB40">
        <v>0.60399999999999998</v>
      </c>
      <c r="ED40" t="s">
        <v>134</v>
      </c>
      <c r="EE40" s="18">
        <v>42969</v>
      </c>
      <c r="EF40" s="19">
        <v>0.67013888888888884</v>
      </c>
      <c r="EG40">
        <v>6.7100000000000007E-2</v>
      </c>
      <c r="EH40">
        <v>0.33</v>
      </c>
      <c r="EI40">
        <v>0.316</v>
      </c>
      <c r="EK40" t="s">
        <v>137</v>
      </c>
      <c r="EL40" s="18">
        <v>42997</v>
      </c>
      <c r="EM40" s="19">
        <v>0.67013888888888884</v>
      </c>
      <c r="EN40">
        <v>0.83840000000000003</v>
      </c>
      <c r="EO40">
        <v>1.1000000000000001</v>
      </c>
      <c r="EP40">
        <v>1.0069999999999999</v>
      </c>
      <c r="ER40" t="s">
        <v>138</v>
      </c>
      <c r="ES40" s="18">
        <v>42942</v>
      </c>
      <c r="ET40" s="19">
        <v>0.66736111111111107</v>
      </c>
      <c r="EU40">
        <v>-6.4899999999999999E-2</v>
      </c>
      <c r="EV40">
        <v>4.3999999999999997E-2</v>
      </c>
      <c r="EW40">
        <v>0.04</v>
      </c>
      <c r="EY40" t="s">
        <v>138</v>
      </c>
      <c r="EZ40" s="18">
        <v>42941</v>
      </c>
      <c r="FA40" s="19">
        <v>0.2673611111111111</v>
      </c>
      <c r="FB40">
        <v>0.98129999999999995</v>
      </c>
      <c r="FC40">
        <v>1.1100000000000001</v>
      </c>
      <c r="FD40">
        <v>1.0489999999999999</v>
      </c>
      <c r="FF40" t="s">
        <v>137</v>
      </c>
      <c r="FG40" s="18">
        <v>43024</v>
      </c>
      <c r="FH40" s="19">
        <v>0.96458333333333335</v>
      </c>
      <c r="FI40">
        <v>2.5099999999999998</v>
      </c>
      <c r="FJ40">
        <v>2.66</v>
      </c>
      <c r="FK40">
        <v>2.5670000000000002</v>
      </c>
      <c r="FM40" t="s">
        <v>132</v>
      </c>
      <c r="FN40" s="18">
        <v>43480</v>
      </c>
      <c r="FO40" s="19">
        <v>0.28263888888888888</v>
      </c>
      <c r="FP40">
        <v>1.9758</v>
      </c>
      <c r="FQ40">
        <v>1.98</v>
      </c>
      <c r="FR40">
        <v>2.206</v>
      </c>
      <c r="FT40" t="s">
        <v>136</v>
      </c>
      <c r="FU40" s="18">
        <v>43013</v>
      </c>
      <c r="FV40" s="19">
        <v>0.67708333333333337</v>
      </c>
      <c r="FW40">
        <v>2.08</v>
      </c>
      <c r="FX40">
        <v>2.0836999999999999</v>
      </c>
      <c r="FY40">
        <v>2.0169999999999999</v>
      </c>
      <c r="GA40" t="s">
        <v>138</v>
      </c>
      <c r="GB40" s="18">
        <v>42944</v>
      </c>
      <c r="GC40" s="19">
        <v>0.33333333333333331</v>
      </c>
      <c r="GD40">
        <v>0.78</v>
      </c>
      <c r="GE40">
        <v>0.78439999999999999</v>
      </c>
      <c r="GF40">
        <v>0.84299999999999997</v>
      </c>
    </row>
    <row r="41" spans="1:188" x14ac:dyDescent="0.3">
      <c r="A41" t="s">
        <v>138</v>
      </c>
      <c r="B41">
        <v>42857</v>
      </c>
      <c r="C41" s="19">
        <v>0.6875</v>
      </c>
      <c r="D41">
        <v>0.52439999999999998</v>
      </c>
      <c r="E41">
        <v>0.52400000000000002</v>
      </c>
      <c r="F41">
        <v>0.50600000000000001</v>
      </c>
      <c r="H41" t="s">
        <v>139</v>
      </c>
      <c r="I41" s="18">
        <v>42852</v>
      </c>
      <c r="J41" s="19">
        <v>0.66736111111111107</v>
      </c>
      <c r="K41">
        <v>7.3999999999999996E-2</v>
      </c>
      <c r="L41">
        <v>7.3999999999999996E-2</v>
      </c>
      <c r="M41">
        <v>5.3999999999999999E-2</v>
      </c>
      <c r="O41" t="s">
        <v>139</v>
      </c>
      <c r="P41" s="18">
        <v>42852</v>
      </c>
      <c r="Q41" s="19">
        <v>0.6694444444444444</v>
      </c>
      <c r="R41">
        <v>0.38650000000000001</v>
      </c>
      <c r="S41">
        <v>0.38650000000000001</v>
      </c>
      <c r="T41">
        <v>0.371</v>
      </c>
      <c r="V41" t="s">
        <v>139</v>
      </c>
      <c r="W41" s="18">
        <v>42858</v>
      </c>
      <c r="X41" s="19">
        <v>0.6743055555555556</v>
      </c>
      <c r="Y41">
        <v>1.04</v>
      </c>
      <c r="Z41">
        <v>1.04</v>
      </c>
      <c r="AA41">
        <v>0.86899999999999999</v>
      </c>
      <c r="AC41" t="s">
        <v>137</v>
      </c>
      <c r="AD41" s="18">
        <v>42852</v>
      </c>
      <c r="AE41" s="19">
        <v>0.6743055555555556</v>
      </c>
      <c r="AF41">
        <v>0.63429999999999997</v>
      </c>
      <c r="AG41">
        <v>0.73</v>
      </c>
      <c r="AH41">
        <v>0.69899999999999995</v>
      </c>
      <c r="AJ41" t="s">
        <v>138</v>
      </c>
      <c r="AK41" s="18">
        <v>42933</v>
      </c>
      <c r="AL41" s="19">
        <v>0.67013888888888884</v>
      </c>
      <c r="AM41">
        <v>1.4999999999999999E-2</v>
      </c>
      <c r="AN41">
        <v>1.4999999999999999E-2</v>
      </c>
      <c r="AO41">
        <v>1.6E-2</v>
      </c>
      <c r="AQ41" t="s">
        <v>135</v>
      </c>
      <c r="AR41" s="18">
        <v>42864</v>
      </c>
      <c r="AS41" s="19">
        <v>0.68055555555555558</v>
      </c>
      <c r="AT41">
        <v>1.9900000000000001E-2</v>
      </c>
      <c r="AU41">
        <v>2.1299999999999999E-2</v>
      </c>
      <c r="AV41">
        <v>0.02</v>
      </c>
      <c r="BE41" t="s">
        <v>139</v>
      </c>
      <c r="BF41" s="18">
        <v>42858</v>
      </c>
      <c r="BG41" s="19">
        <v>0.67291666666666672</v>
      </c>
      <c r="BH41">
        <v>-0.1203</v>
      </c>
      <c r="BI41">
        <v>-8.8700000000000001E-2</v>
      </c>
      <c r="BJ41">
        <v>-5.5E-2</v>
      </c>
      <c r="BL41" t="s">
        <v>139</v>
      </c>
      <c r="BM41" s="18">
        <v>42838</v>
      </c>
      <c r="BN41" s="19">
        <v>0.60416666666666663</v>
      </c>
      <c r="BO41">
        <v>16.849599999999999</v>
      </c>
      <c r="BP41">
        <v>16.899999999999999</v>
      </c>
      <c r="BQ41">
        <v>16.995999999999999</v>
      </c>
      <c r="BS41" t="s">
        <v>138</v>
      </c>
      <c r="BT41" s="18">
        <v>42887</v>
      </c>
      <c r="BU41" s="19">
        <v>0.66805555555555551</v>
      </c>
      <c r="BV41">
        <v>0.12239999999999999</v>
      </c>
      <c r="BW41">
        <v>0.36899999999999999</v>
      </c>
      <c r="BX41">
        <v>0.35199999999999998</v>
      </c>
      <c r="BZ41" t="s">
        <v>139</v>
      </c>
      <c r="CA41" s="18">
        <v>42856</v>
      </c>
      <c r="CB41" s="19">
        <v>0.67708333333333337</v>
      </c>
      <c r="CC41">
        <v>-3.5700000000000003E-2</v>
      </c>
      <c r="CD41">
        <v>-0.04</v>
      </c>
      <c r="CE41">
        <v>-4.2000000000000003E-2</v>
      </c>
      <c r="CG41" t="s">
        <v>138</v>
      </c>
      <c r="CH41" s="18">
        <v>42817</v>
      </c>
      <c r="CI41" s="19">
        <v>0.66874999999999996</v>
      </c>
      <c r="CJ41">
        <v>0.94220000000000004</v>
      </c>
      <c r="CK41">
        <v>0.9</v>
      </c>
      <c r="CL41">
        <v>0.86399999999999999</v>
      </c>
      <c r="CN41" t="s">
        <v>139</v>
      </c>
      <c r="CO41" s="18">
        <v>42852</v>
      </c>
      <c r="CP41" s="19">
        <v>0.67013888888888884</v>
      </c>
      <c r="CQ41">
        <v>0.13400000000000001</v>
      </c>
      <c r="CR41">
        <v>0.1457</v>
      </c>
      <c r="CS41">
        <v>0.17499999999999999</v>
      </c>
      <c r="DI41" t="s">
        <v>139</v>
      </c>
      <c r="DJ41" s="18">
        <v>42857</v>
      </c>
      <c r="DK41" s="19">
        <v>0.29166666666666669</v>
      </c>
      <c r="DL41">
        <v>-1.4999999999999999E-2</v>
      </c>
      <c r="DM41">
        <v>-4.0000000000000001E-3</v>
      </c>
      <c r="DN41">
        <v>-0.01</v>
      </c>
      <c r="DP41" t="s">
        <v>137</v>
      </c>
      <c r="DQ41" s="18">
        <v>42852</v>
      </c>
      <c r="DR41" s="19">
        <v>0.68125000000000002</v>
      </c>
      <c r="DS41">
        <v>3.2000000000000001E-2</v>
      </c>
      <c r="DT41">
        <v>0.38</v>
      </c>
      <c r="DU41">
        <v>3.7999999999999999E-2</v>
      </c>
      <c r="DW41" t="s">
        <v>136</v>
      </c>
      <c r="DX41" s="18">
        <v>42907</v>
      </c>
      <c r="DY41" s="19">
        <v>0.66666666666666663</v>
      </c>
      <c r="DZ41">
        <v>0.77800000000000002</v>
      </c>
      <c r="EA41">
        <v>0.89</v>
      </c>
      <c r="EB41">
        <v>0.78400000000000003</v>
      </c>
      <c r="ED41" t="s">
        <v>135</v>
      </c>
      <c r="EE41" s="18">
        <v>42873</v>
      </c>
      <c r="EF41" s="19">
        <v>0.67013888888888884</v>
      </c>
      <c r="EG41">
        <v>-1.8E-3</v>
      </c>
      <c r="EH41">
        <v>0.28000000000000003</v>
      </c>
      <c r="EI41">
        <v>0.25900000000000001</v>
      </c>
      <c r="EK41" t="s">
        <v>138</v>
      </c>
      <c r="EL41" s="18">
        <v>42906</v>
      </c>
      <c r="EM41" s="19">
        <v>0.67013888888888884</v>
      </c>
      <c r="EN41">
        <v>0.74650000000000005</v>
      </c>
      <c r="EO41">
        <v>1.02</v>
      </c>
      <c r="EP41">
        <v>0.94599999999999995</v>
      </c>
      <c r="ER41" t="s">
        <v>139</v>
      </c>
      <c r="ES41" s="18">
        <v>42851</v>
      </c>
      <c r="ET41" s="19">
        <v>0.66736111111111107</v>
      </c>
      <c r="EU41">
        <v>-2.58E-2</v>
      </c>
      <c r="EV41">
        <v>4.8000000000000001E-2</v>
      </c>
      <c r="EW41">
        <v>3.4000000000000002E-2</v>
      </c>
      <c r="EY41" t="s">
        <v>139</v>
      </c>
      <c r="EZ41" s="18">
        <v>42850</v>
      </c>
      <c r="FA41" s="19">
        <v>0.2673611111111111</v>
      </c>
      <c r="FB41">
        <v>0.8387</v>
      </c>
      <c r="FC41">
        <v>0.98</v>
      </c>
      <c r="FD41">
        <v>0.96299999999999997</v>
      </c>
      <c r="FF41" t="s">
        <v>138</v>
      </c>
      <c r="FG41" s="18">
        <v>42934</v>
      </c>
      <c r="FH41" s="19">
        <v>0.24652777777777779</v>
      </c>
      <c r="FI41">
        <v>2.3199999999999998</v>
      </c>
      <c r="FJ41">
        <v>2.46</v>
      </c>
      <c r="FK41">
        <v>2.379</v>
      </c>
      <c r="FM41" t="s">
        <v>133</v>
      </c>
      <c r="FN41" s="18">
        <v>43385</v>
      </c>
      <c r="FO41" s="19">
        <v>0.28263888888888888</v>
      </c>
      <c r="FP41">
        <v>2.3447</v>
      </c>
      <c r="FQ41">
        <v>2.3611</v>
      </c>
      <c r="FR41">
        <v>2.262</v>
      </c>
      <c r="FT41" t="s">
        <v>137</v>
      </c>
      <c r="FU41" s="18">
        <v>42880</v>
      </c>
      <c r="FV41" s="19">
        <v>0.67708333333333337</v>
      </c>
      <c r="FW41">
        <v>1.4040999999999999</v>
      </c>
      <c r="FX41">
        <v>1.4012</v>
      </c>
      <c r="FY41">
        <v>1.3420000000000001</v>
      </c>
      <c r="GA41" t="s">
        <v>139</v>
      </c>
      <c r="GB41" s="18">
        <v>42853</v>
      </c>
      <c r="GC41" s="19">
        <v>0.33333333333333331</v>
      </c>
      <c r="GD41">
        <v>0.95</v>
      </c>
      <c r="GE41">
        <v>0.94640000000000002</v>
      </c>
      <c r="GF41">
        <v>0.86</v>
      </c>
    </row>
    <row r="42" spans="1:188" x14ac:dyDescent="0.3">
      <c r="A42" t="s">
        <v>139</v>
      </c>
      <c r="B42">
        <v>42766</v>
      </c>
      <c r="C42" s="19">
        <v>0.6875</v>
      </c>
      <c r="D42">
        <v>0.84089999999999998</v>
      </c>
      <c r="E42">
        <v>0.83950000000000002</v>
      </c>
      <c r="F42">
        <v>0.80600000000000005</v>
      </c>
      <c r="H42" t="s">
        <v>140</v>
      </c>
      <c r="I42" s="18">
        <v>42768</v>
      </c>
      <c r="J42" s="19">
        <v>0.66736111111111107</v>
      </c>
      <c r="K42">
        <v>7.6899999999999996E-2</v>
      </c>
      <c r="L42">
        <v>7.6999999999999999E-2</v>
      </c>
      <c r="M42">
        <v>6.8000000000000005E-2</v>
      </c>
      <c r="O42" t="s">
        <v>140</v>
      </c>
      <c r="P42" s="18">
        <v>42761</v>
      </c>
      <c r="Q42" s="19">
        <v>0.66874999999999996</v>
      </c>
      <c r="R42">
        <v>0.378</v>
      </c>
      <c r="S42">
        <v>0.378</v>
      </c>
      <c r="T42">
        <v>0.38400000000000001</v>
      </c>
      <c r="V42" t="s">
        <v>140</v>
      </c>
      <c r="W42" s="18">
        <v>42767</v>
      </c>
      <c r="X42" s="19">
        <v>0.66736111111111107</v>
      </c>
      <c r="Y42">
        <v>1.21</v>
      </c>
      <c r="Z42">
        <v>1.21</v>
      </c>
      <c r="AA42">
        <v>1.0429999999999999</v>
      </c>
      <c r="AC42" t="s">
        <v>138</v>
      </c>
      <c r="AD42" s="18">
        <v>42761</v>
      </c>
      <c r="AE42" s="19">
        <v>0.67222222222222228</v>
      </c>
      <c r="AF42">
        <v>0.74209999999999998</v>
      </c>
      <c r="AG42">
        <v>0.84</v>
      </c>
      <c r="AH42">
        <v>0.78600000000000003</v>
      </c>
      <c r="AJ42" t="s">
        <v>139</v>
      </c>
      <c r="AK42" s="18">
        <v>42842</v>
      </c>
      <c r="AL42" s="19">
        <v>0.67013888888888884</v>
      </c>
      <c r="AM42">
        <v>0.04</v>
      </c>
      <c r="AN42">
        <v>0.04</v>
      </c>
      <c r="AO42">
        <v>3.6999999999999998E-2</v>
      </c>
      <c r="AQ42" t="s">
        <v>136</v>
      </c>
      <c r="AR42" s="18">
        <v>42775</v>
      </c>
      <c r="AS42" s="19">
        <v>0.68055555555555558</v>
      </c>
      <c r="AT42">
        <v>2.4899999999999999E-2</v>
      </c>
      <c r="AU42">
        <v>2.8299999999999999E-2</v>
      </c>
      <c r="AV42">
        <v>2.5000000000000001E-2</v>
      </c>
      <c r="BE42" t="s">
        <v>140</v>
      </c>
      <c r="BF42" s="18">
        <v>42788</v>
      </c>
      <c r="BG42" s="19">
        <v>0.6791666666666667</v>
      </c>
      <c r="BH42">
        <v>-7.7299999999999994E-2</v>
      </c>
      <c r="BI42">
        <v>-4.5999999999999999E-2</v>
      </c>
      <c r="BJ42">
        <v>-7.4999999999999997E-2</v>
      </c>
      <c r="BL42" t="s">
        <v>260</v>
      </c>
      <c r="BM42" s="18">
        <v>42747</v>
      </c>
      <c r="BO42">
        <v>64.835099999999997</v>
      </c>
      <c r="BP42">
        <v>64.45</v>
      </c>
      <c r="BQ42">
        <v>63.76</v>
      </c>
      <c r="BS42" t="s">
        <v>139</v>
      </c>
      <c r="BT42" s="18">
        <v>42795</v>
      </c>
      <c r="BU42" s="19">
        <v>0.66805555555555551</v>
      </c>
      <c r="BV42">
        <v>0.1091</v>
      </c>
      <c r="BW42">
        <v>0.36299999999999999</v>
      </c>
      <c r="BX42">
        <v>0.35</v>
      </c>
      <c r="BZ42" t="s">
        <v>140</v>
      </c>
      <c r="CA42" s="18">
        <v>42766</v>
      </c>
      <c r="CB42" s="19">
        <v>0.67708333333333337</v>
      </c>
      <c r="CC42">
        <v>-0.05</v>
      </c>
      <c r="CD42">
        <v>-0.01</v>
      </c>
      <c r="CE42">
        <v>-1.2E-2</v>
      </c>
      <c r="CG42" t="s">
        <v>139</v>
      </c>
      <c r="CH42" s="18">
        <v>42725</v>
      </c>
      <c r="CI42" s="19">
        <v>0.66736111111111107</v>
      </c>
      <c r="CJ42">
        <v>0.23849999999999999</v>
      </c>
      <c r="CK42">
        <v>0.32</v>
      </c>
      <c r="CL42">
        <v>0.26900000000000002</v>
      </c>
      <c r="CN42" t="s">
        <v>140</v>
      </c>
      <c r="CO42" s="18">
        <v>42766</v>
      </c>
      <c r="CP42" s="19">
        <v>0.66736111111111107</v>
      </c>
      <c r="CQ42">
        <v>0.26900000000000002</v>
      </c>
      <c r="CR42">
        <v>0.28839999999999999</v>
      </c>
      <c r="CS42">
        <v>0.29299999999999998</v>
      </c>
      <c r="DI42" t="s">
        <v>140</v>
      </c>
      <c r="DJ42" s="18">
        <v>42781</v>
      </c>
      <c r="DK42" s="19">
        <v>0.29166666666666669</v>
      </c>
      <c r="DL42">
        <v>-0.01</v>
      </c>
      <c r="DM42">
        <v>0</v>
      </c>
      <c r="DN42">
        <v>-2E-3</v>
      </c>
      <c r="DP42" t="s">
        <v>138</v>
      </c>
      <c r="DQ42" s="18">
        <v>42761</v>
      </c>
      <c r="DR42" s="19">
        <v>0.67013888888888884</v>
      </c>
      <c r="DS42">
        <v>4.2999999999999997E-2</v>
      </c>
      <c r="DT42">
        <v>4.8000000000000001E-2</v>
      </c>
      <c r="DU42">
        <v>4.5999999999999999E-2</v>
      </c>
      <c r="DW42" t="s">
        <v>137</v>
      </c>
      <c r="DX42" s="18">
        <v>42809</v>
      </c>
      <c r="DY42" s="19">
        <v>0.66666666666666663</v>
      </c>
      <c r="DZ42">
        <v>0.56140000000000001</v>
      </c>
      <c r="EA42">
        <v>0.69</v>
      </c>
      <c r="EB42">
        <v>0.61799999999999999</v>
      </c>
      <c r="ED42" t="s">
        <v>136</v>
      </c>
      <c r="EE42" s="18">
        <v>42794</v>
      </c>
      <c r="EF42" s="19">
        <v>0.67013888888888884</v>
      </c>
      <c r="EG42">
        <v>-8.3099999999999993E-2</v>
      </c>
      <c r="EH42">
        <v>0.28000000000000003</v>
      </c>
      <c r="EI42">
        <v>0.248</v>
      </c>
      <c r="EK42" t="s">
        <v>139</v>
      </c>
      <c r="EL42" s="18">
        <v>42810</v>
      </c>
      <c r="EM42" s="19">
        <v>0.67013888888888884</v>
      </c>
      <c r="EN42">
        <v>0.79730000000000001</v>
      </c>
      <c r="EO42">
        <v>0.94</v>
      </c>
      <c r="EP42">
        <v>0.872</v>
      </c>
      <c r="ER42" t="s">
        <v>140</v>
      </c>
      <c r="ES42" s="18">
        <v>42760</v>
      </c>
      <c r="ET42" s="19">
        <v>0.66736111111111107</v>
      </c>
      <c r="EU42">
        <v>-0.04</v>
      </c>
      <c r="EV42">
        <v>4.8000000000000001E-2</v>
      </c>
      <c r="EW42">
        <v>4.5999999999999999E-2</v>
      </c>
      <c r="EY42" t="s">
        <v>140</v>
      </c>
      <c r="EZ42" s="18">
        <v>42766</v>
      </c>
      <c r="FA42" s="19">
        <v>0.2673611111111111</v>
      </c>
      <c r="FB42">
        <v>0.84009999999999996</v>
      </c>
      <c r="FC42">
        <v>0.95</v>
      </c>
      <c r="FD42">
        <v>0.97799999999999998</v>
      </c>
      <c r="FF42" t="s">
        <v>139</v>
      </c>
      <c r="FG42" s="18">
        <v>42843</v>
      </c>
      <c r="FH42" s="19">
        <v>0.24652777777777779</v>
      </c>
      <c r="FI42">
        <v>2.23</v>
      </c>
      <c r="FJ42">
        <v>2.37</v>
      </c>
      <c r="FK42">
        <v>2.169</v>
      </c>
      <c r="FM42" t="s">
        <v>134</v>
      </c>
      <c r="FN42" s="18">
        <v>43294</v>
      </c>
      <c r="FO42" s="19">
        <v>0.28194444444444444</v>
      </c>
      <c r="FP42">
        <v>2.29</v>
      </c>
      <c r="FQ42">
        <v>2.3024</v>
      </c>
      <c r="FR42">
        <v>2.2210000000000001</v>
      </c>
      <c r="FT42" t="s">
        <v>138</v>
      </c>
      <c r="FU42" s="18">
        <v>42796</v>
      </c>
      <c r="FV42" s="19">
        <v>0.67708333333333337</v>
      </c>
      <c r="FW42">
        <v>1.17</v>
      </c>
      <c r="FX42">
        <v>1.1687000000000001</v>
      </c>
      <c r="FY42">
        <v>1.351</v>
      </c>
      <c r="GA42" t="s">
        <v>140</v>
      </c>
      <c r="GB42" s="18">
        <v>42766</v>
      </c>
      <c r="GC42" s="19">
        <v>0.33333333333333331</v>
      </c>
      <c r="GD42">
        <v>0.91359999999999997</v>
      </c>
      <c r="GE42">
        <v>0.88770000000000004</v>
      </c>
      <c r="GF42">
        <v>0.70399999999999996</v>
      </c>
    </row>
    <row r="43" spans="1:188" x14ac:dyDescent="0.3">
      <c r="A43" t="s">
        <v>140</v>
      </c>
      <c r="B43">
        <v>42668</v>
      </c>
      <c r="C43" s="19">
        <v>0.6875</v>
      </c>
      <c r="D43">
        <v>0.41620000000000001</v>
      </c>
      <c r="E43">
        <v>0.41749999999999998</v>
      </c>
      <c r="F43">
        <v>0.41499999999999998</v>
      </c>
      <c r="H43" t="s">
        <v>141</v>
      </c>
      <c r="I43" s="18">
        <v>42670</v>
      </c>
      <c r="J43" s="19">
        <v>0.66736111111111107</v>
      </c>
      <c r="K43">
        <v>2.5999999999999999E-2</v>
      </c>
      <c r="L43">
        <v>2.5999999999999999E-2</v>
      </c>
      <c r="M43">
        <v>3.7999999999999999E-2</v>
      </c>
      <c r="O43" t="s">
        <v>141</v>
      </c>
      <c r="P43" s="18">
        <v>42670</v>
      </c>
      <c r="Q43" s="19">
        <v>0.66736111111111107</v>
      </c>
      <c r="R43">
        <v>0.36249999999999999</v>
      </c>
      <c r="S43">
        <v>0.36230000000000001</v>
      </c>
      <c r="T43">
        <v>0.33800000000000002</v>
      </c>
      <c r="V43" t="s">
        <v>141</v>
      </c>
      <c r="W43" s="18">
        <v>42676</v>
      </c>
      <c r="X43" s="19">
        <v>0.66666666666666663</v>
      </c>
      <c r="Y43">
        <v>0.9</v>
      </c>
      <c r="Z43">
        <v>0.82</v>
      </c>
      <c r="AA43">
        <v>0.71699999999999997</v>
      </c>
      <c r="AC43" t="s">
        <v>139</v>
      </c>
      <c r="AD43" s="18">
        <v>42663</v>
      </c>
      <c r="AE43" s="19">
        <v>0.67152777777777772</v>
      </c>
      <c r="AF43">
        <v>0.68659999999999999</v>
      </c>
      <c r="AG43">
        <v>0.76</v>
      </c>
      <c r="AH43">
        <v>0.68300000000000005</v>
      </c>
      <c r="AJ43" t="s">
        <v>140</v>
      </c>
      <c r="AK43" s="18">
        <v>42753</v>
      </c>
      <c r="AL43" s="19">
        <v>0.67291666666666672</v>
      </c>
      <c r="AM43">
        <v>1.4999999999999999E-2</v>
      </c>
      <c r="AN43">
        <v>1.4999999999999999E-2</v>
      </c>
      <c r="AO43">
        <v>1.2999999999999999E-2</v>
      </c>
      <c r="AQ43" t="s">
        <v>137</v>
      </c>
      <c r="AR43" s="18">
        <v>42684</v>
      </c>
      <c r="AS43" s="19">
        <v>0.68055555555555558</v>
      </c>
      <c r="AT43">
        <v>2.0899999999999998E-2</v>
      </c>
      <c r="AU43">
        <v>2.35E-2</v>
      </c>
      <c r="AV43">
        <v>1.7000000000000001E-2</v>
      </c>
      <c r="BE43" t="s">
        <v>141</v>
      </c>
      <c r="BF43" s="18">
        <v>42669</v>
      </c>
      <c r="BG43" t="s">
        <v>164</v>
      </c>
      <c r="BH43">
        <v>9.4999999999999998E-3</v>
      </c>
      <c r="BI43">
        <v>4.7300000000000002E-2</v>
      </c>
      <c r="BJ43">
        <v>-3.5999999999999997E-2</v>
      </c>
      <c r="BL43" t="s">
        <v>141</v>
      </c>
      <c r="BM43" s="18">
        <v>42656</v>
      </c>
      <c r="BN43" s="19">
        <v>0.70486111111111116</v>
      </c>
      <c r="BO43">
        <v>18.530999999999999</v>
      </c>
      <c r="BP43">
        <v>18.649999999999999</v>
      </c>
      <c r="BQ43">
        <v>18.399999999999999</v>
      </c>
      <c r="BS43" t="s">
        <v>140</v>
      </c>
      <c r="BT43" s="18">
        <v>42712</v>
      </c>
      <c r="BU43" s="19">
        <v>0.68125000000000002</v>
      </c>
      <c r="BV43">
        <v>7.7100000000000002E-2</v>
      </c>
      <c r="BW43">
        <v>0.34699999999999998</v>
      </c>
      <c r="BX43">
        <v>0.33500000000000002</v>
      </c>
      <c r="BZ43" t="s">
        <v>141</v>
      </c>
      <c r="CA43" s="18">
        <v>42663</v>
      </c>
      <c r="CB43" s="19">
        <v>0.67847222222222225</v>
      </c>
      <c r="CC43">
        <v>-9.1000000000000004E-3</v>
      </c>
      <c r="CD43">
        <v>0.03</v>
      </c>
      <c r="CE43">
        <v>4.0000000000000001E-3</v>
      </c>
      <c r="CG43" t="s">
        <v>140</v>
      </c>
      <c r="CH43" s="18">
        <v>42647</v>
      </c>
      <c r="CI43" s="19">
        <v>0.66874999999999996</v>
      </c>
      <c r="CJ43">
        <v>-6.4199999999999993E-2</v>
      </c>
      <c r="CK43">
        <v>-0.05</v>
      </c>
      <c r="CL43">
        <v>-8.4000000000000005E-2</v>
      </c>
      <c r="CN43" t="s">
        <v>141</v>
      </c>
      <c r="CO43" s="18">
        <v>42670</v>
      </c>
      <c r="CP43" s="19">
        <v>0.66736111111111107</v>
      </c>
      <c r="CQ43">
        <v>0.2311</v>
      </c>
      <c r="CR43">
        <v>0.25009999999999999</v>
      </c>
      <c r="CS43">
        <v>0.19800000000000001</v>
      </c>
      <c r="DI43" t="s">
        <v>141</v>
      </c>
      <c r="DJ43" s="18">
        <v>42676</v>
      </c>
      <c r="DK43" s="19">
        <v>0.29166666666666669</v>
      </c>
      <c r="DL43">
        <v>-1.0999999999999999E-2</v>
      </c>
      <c r="DM43">
        <v>-2E-3</v>
      </c>
      <c r="DN43">
        <v>-3.0000000000000001E-3</v>
      </c>
      <c r="DP43" t="s">
        <v>139</v>
      </c>
      <c r="DQ43" s="18">
        <v>42670</v>
      </c>
      <c r="DR43" s="19">
        <v>0.67013888888888884</v>
      </c>
      <c r="DS43">
        <v>2.5999999999999999E-2</v>
      </c>
      <c r="DT43">
        <v>3.2000000000000001E-2</v>
      </c>
      <c r="DU43">
        <v>1.9E-2</v>
      </c>
      <c r="DW43" t="s">
        <v>138</v>
      </c>
      <c r="DX43" s="18">
        <v>42719</v>
      </c>
      <c r="DY43" s="19">
        <v>0.66666666666666663</v>
      </c>
      <c r="DZ43">
        <v>0.50109999999999999</v>
      </c>
      <c r="EA43">
        <v>0.61</v>
      </c>
      <c r="EB43">
        <v>0.6</v>
      </c>
      <c r="ED43" t="s">
        <v>137</v>
      </c>
      <c r="EE43" s="18">
        <v>42691</v>
      </c>
      <c r="EF43" s="19">
        <v>0.67013888888888884</v>
      </c>
      <c r="EG43">
        <v>-5.5E-2</v>
      </c>
      <c r="EH43">
        <v>0.24</v>
      </c>
      <c r="EI43">
        <v>0.21099999999999999</v>
      </c>
      <c r="EK43" t="s">
        <v>140</v>
      </c>
      <c r="EL43" s="18">
        <v>42719</v>
      </c>
      <c r="EM43" s="19">
        <v>0.67013888888888884</v>
      </c>
      <c r="EN43">
        <v>0.79849999999999999</v>
      </c>
      <c r="EO43">
        <v>0.9</v>
      </c>
      <c r="EP43">
        <v>0.86199999999999999</v>
      </c>
      <c r="ER43" t="s">
        <v>141</v>
      </c>
      <c r="ES43" s="18">
        <v>42669</v>
      </c>
      <c r="ET43" s="19">
        <v>0.66736111111111107</v>
      </c>
      <c r="EU43">
        <v>-4.3999999999999997E-2</v>
      </c>
      <c r="EV43">
        <v>4.5999999999999999E-2</v>
      </c>
      <c r="EW43">
        <v>4.2000000000000003E-2</v>
      </c>
      <c r="EY43" t="s">
        <v>141</v>
      </c>
      <c r="EZ43" s="18">
        <v>42668</v>
      </c>
      <c r="FA43" s="19">
        <v>0.2673611111111111</v>
      </c>
      <c r="FB43">
        <v>0.753</v>
      </c>
      <c r="FC43">
        <v>0.88</v>
      </c>
      <c r="FD43">
        <v>0.95499999999999996</v>
      </c>
      <c r="FF43" t="s">
        <v>140</v>
      </c>
      <c r="FG43" s="18">
        <v>42752</v>
      </c>
      <c r="FH43" s="19">
        <v>0.24652777777777779</v>
      </c>
      <c r="FI43">
        <v>1.6898</v>
      </c>
      <c r="FJ43">
        <v>2.11</v>
      </c>
      <c r="FK43">
        <v>2.073</v>
      </c>
      <c r="FM43" t="s">
        <v>135</v>
      </c>
      <c r="FN43" s="18">
        <v>43203</v>
      </c>
      <c r="FO43" s="19">
        <v>0.29166666666666669</v>
      </c>
      <c r="FP43">
        <v>2.3858999999999999</v>
      </c>
      <c r="FQ43">
        <v>2.3130999999999999</v>
      </c>
      <c r="FR43">
        <v>2.2770000000000001</v>
      </c>
      <c r="FT43" t="s">
        <v>139</v>
      </c>
      <c r="FU43" s="18">
        <v>42711</v>
      </c>
      <c r="FV43" s="19">
        <v>0.67708333333333337</v>
      </c>
      <c r="FW43">
        <v>1.17</v>
      </c>
      <c r="FX43">
        <v>1.1672</v>
      </c>
      <c r="FY43">
        <v>1.1870000000000001</v>
      </c>
      <c r="GA43" t="s">
        <v>141</v>
      </c>
      <c r="GB43" s="18">
        <v>42671</v>
      </c>
      <c r="GC43" s="19">
        <v>0.33333333333333331</v>
      </c>
      <c r="GD43">
        <v>0.63</v>
      </c>
      <c r="GE43">
        <v>0.63</v>
      </c>
      <c r="GF43">
        <v>0.58399999999999996</v>
      </c>
    </row>
    <row r="44" spans="1:188" x14ac:dyDescent="0.3">
      <c r="A44" t="s">
        <v>141</v>
      </c>
      <c r="B44">
        <v>42577</v>
      </c>
      <c r="C44" s="19">
        <v>0.6875</v>
      </c>
      <c r="D44">
        <v>0.35439999999999999</v>
      </c>
      <c r="E44">
        <v>0.35499999999999998</v>
      </c>
      <c r="F44">
        <v>0.34799999999999998</v>
      </c>
      <c r="H44" t="s">
        <v>142</v>
      </c>
      <c r="I44" s="18">
        <v>42579</v>
      </c>
      <c r="J44" s="19">
        <v>0.66736111111111107</v>
      </c>
      <c r="K44">
        <v>8.8999999999999996E-2</v>
      </c>
      <c r="L44">
        <v>8.8999999999999996E-2</v>
      </c>
      <c r="M44">
        <v>5.6000000000000001E-2</v>
      </c>
      <c r="O44" t="s">
        <v>142</v>
      </c>
      <c r="P44" s="18">
        <v>42579</v>
      </c>
      <c r="Q44" s="19">
        <v>0.66736111111111107</v>
      </c>
      <c r="R44">
        <v>0.35</v>
      </c>
      <c r="S44">
        <v>0.34989999999999999</v>
      </c>
      <c r="T44">
        <v>0.32200000000000001</v>
      </c>
      <c r="V44" t="s">
        <v>142</v>
      </c>
      <c r="W44" s="18">
        <v>42578</v>
      </c>
      <c r="X44" s="19">
        <v>0.67013888888888884</v>
      </c>
      <c r="Y44">
        <v>0.78</v>
      </c>
      <c r="Z44">
        <v>0.71</v>
      </c>
      <c r="AA44">
        <v>0.57399999999999995</v>
      </c>
      <c r="AC44" t="s">
        <v>140</v>
      </c>
      <c r="AD44" s="18">
        <v>42570</v>
      </c>
      <c r="AE44" s="19">
        <v>0.67222222222222228</v>
      </c>
      <c r="AF44">
        <v>0.77290000000000003</v>
      </c>
      <c r="AG44">
        <v>0.69</v>
      </c>
      <c r="AH44">
        <v>0.58199999999999996</v>
      </c>
      <c r="AJ44" t="s">
        <v>141</v>
      </c>
      <c r="AK44" s="18">
        <v>42660</v>
      </c>
      <c r="AL44" s="19">
        <v>0.67013888888888884</v>
      </c>
      <c r="AM44">
        <v>1.2E-2</v>
      </c>
      <c r="AN44">
        <v>1.2E-2</v>
      </c>
      <c r="AO44">
        <v>6.0000000000000001E-3</v>
      </c>
      <c r="AQ44" t="s">
        <v>138</v>
      </c>
      <c r="AR44" s="18">
        <v>42593</v>
      </c>
      <c r="AS44" s="19">
        <v>0.68055555555555558</v>
      </c>
      <c r="AT44">
        <v>1.03E-2</v>
      </c>
      <c r="AU44">
        <v>1.3299999999999999E-2</v>
      </c>
      <c r="AV44">
        <v>1.2E-2</v>
      </c>
      <c r="BE44" t="s">
        <v>142</v>
      </c>
      <c r="BF44" s="18">
        <v>42585</v>
      </c>
      <c r="BG44" t="s">
        <v>164</v>
      </c>
      <c r="BH44">
        <v>-0.14419999999999999</v>
      </c>
      <c r="BI44">
        <v>-7.0699999999999999E-2</v>
      </c>
      <c r="BJ44">
        <v>-0.04</v>
      </c>
      <c r="BL44" t="s">
        <v>142</v>
      </c>
      <c r="BM44" s="18">
        <v>42565</v>
      </c>
      <c r="BN44" s="19">
        <v>0.68402777777777779</v>
      </c>
      <c r="BO44">
        <v>13.820600000000001</v>
      </c>
      <c r="BP44">
        <v>14</v>
      </c>
      <c r="BQ44">
        <v>13.260999999999999</v>
      </c>
      <c r="BS44" t="s">
        <v>141</v>
      </c>
      <c r="BT44" s="18">
        <v>42614</v>
      </c>
      <c r="BU44" s="19">
        <v>0.66805555555555551</v>
      </c>
      <c r="BV44">
        <v>-1.1999999999999999E-3</v>
      </c>
      <c r="BW44">
        <v>0.28899999999999998</v>
      </c>
      <c r="BX44">
        <v>0.28000000000000003</v>
      </c>
      <c r="BZ44" t="s">
        <v>142</v>
      </c>
      <c r="CA44" s="18">
        <v>42572</v>
      </c>
      <c r="CB44" s="19">
        <v>0.67708333333333337</v>
      </c>
      <c r="CC44">
        <v>-7.8299999999999995E-2</v>
      </c>
      <c r="CD44">
        <v>-0.05</v>
      </c>
      <c r="CE44">
        <v>-8.4000000000000005E-2</v>
      </c>
      <c r="CG44" t="s">
        <v>141</v>
      </c>
      <c r="CH44" s="18">
        <v>42551</v>
      </c>
      <c r="CI44" s="19">
        <v>0.66736111111111107</v>
      </c>
      <c r="CJ44">
        <v>-0.1767</v>
      </c>
      <c r="CK44">
        <v>-0.08</v>
      </c>
      <c r="CL44">
        <v>-9.6000000000000002E-2</v>
      </c>
      <c r="CN44" t="s">
        <v>142</v>
      </c>
      <c r="CO44" s="18">
        <v>42579</v>
      </c>
      <c r="CP44" s="19">
        <v>0.67013888888888884</v>
      </c>
      <c r="CQ44">
        <v>0.16400000000000001</v>
      </c>
      <c r="CR44">
        <v>0.18410000000000001</v>
      </c>
      <c r="CS44">
        <v>0.22500000000000001</v>
      </c>
      <c r="DI44" t="s">
        <v>142</v>
      </c>
      <c r="DJ44" s="18">
        <v>42585</v>
      </c>
      <c r="DK44" s="19">
        <v>0.29166666666666669</v>
      </c>
      <c r="DL44">
        <v>-0.01</v>
      </c>
      <c r="DM44">
        <v>-4.0000000000000001E-3</v>
      </c>
      <c r="DN44">
        <v>-8.0000000000000002E-3</v>
      </c>
      <c r="DP44" t="s">
        <v>140</v>
      </c>
      <c r="DQ44" s="18">
        <v>42586</v>
      </c>
      <c r="DR44" s="19">
        <v>0.67013888888888884</v>
      </c>
      <c r="DS44">
        <v>1.2999999999999999E-2</v>
      </c>
      <c r="DT44">
        <v>0.02</v>
      </c>
      <c r="DU44">
        <v>1.6E-2</v>
      </c>
      <c r="DW44" t="s">
        <v>139</v>
      </c>
      <c r="DX44" s="18">
        <v>42628</v>
      </c>
      <c r="DY44" s="19">
        <v>0.66666666666666663</v>
      </c>
      <c r="DZ44">
        <v>0.44769999999999999</v>
      </c>
      <c r="EA44">
        <v>0.55000000000000004</v>
      </c>
      <c r="EB44">
        <v>0.57899999999999996</v>
      </c>
      <c r="ED44" t="s">
        <v>138</v>
      </c>
      <c r="EE44" s="18">
        <v>42613</v>
      </c>
      <c r="EF44" s="19">
        <v>0.67013888888888884</v>
      </c>
      <c r="EG44">
        <v>0.33</v>
      </c>
      <c r="EH44">
        <v>0.24</v>
      </c>
      <c r="EI44">
        <v>0.22</v>
      </c>
      <c r="EK44" t="s">
        <v>141</v>
      </c>
      <c r="EL44" s="18">
        <v>42633</v>
      </c>
      <c r="EM44" s="19">
        <v>0.67013888888888884</v>
      </c>
      <c r="EN44">
        <v>0.53669999999999995</v>
      </c>
      <c r="EO44">
        <v>0.75</v>
      </c>
      <c r="EP44">
        <v>0.72399999999999998</v>
      </c>
      <c r="ER44" t="s">
        <v>142</v>
      </c>
      <c r="ES44" s="18">
        <v>42578</v>
      </c>
      <c r="ET44" s="19">
        <v>0.66736111111111107</v>
      </c>
      <c r="EU44">
        <v>-5.9900000000000002E-2</v>
      </c>
      <c r="EV44">
        <v>0.03</v>
      </c>
      <c r="EW44">
        <v>1.7999999999999999E-2</v>
      </c>
      <c r="EY44" t="s">
        <v>142</v>
      </c>
      <c r="EZ44" s="18">
        <v>42577</v>
      </c>
      <c r="FA44" s="19">
        <v>0.2673611111111111</v>
      </c>
      <c r="FB44">
        <v>0.74950000000000006</v>
      </c>
      <c r="FC44">
        <v>0.86</v>
      </c>
      <c r="FD44">
        <v>0.85799999999999998</v>
      </c>
      <c r="FF44" t="s">
        <v>141</v>
      </c>
      <c r="FG44" s="18">
        <v>42661</v>
      </c>
      <c r="FH44" s="19">
        <v>0.24652777777777779</v>
      </c>
      <c r="FI44">
        <v>2.0299999999999998</v>
      </c>
      <c r="FJ44">
        <v>2.17</v>
      </c>
      <c r="FK44">
        <v>2.08</v>
      </c>
      <c r="FM44" t="s">
        <v>136</v>
      </c>
      <c r="FN44" s="18">
        <v>43112</v>
      </c>
      <c r="FO44" s="19">
        <v>0.28125</v>
      </c>
      <c r="FP44">
        <v>1.5727</v>
      </c>
      <c r="FQ44">
        <v>1.7355</v>
      </c>
      <c r="FR44">
        <v>1.694</v>
      </c>
      <c r="FT44" t="s">
        <v>140</v>
      </c>
      <c r="FU44" s="18">
        <v>42642</v>
      </c>
      <c r="FV44" s="19">
        <v>0.67708333333333337</v>
      </c>
      <c r="FW44">
        <v>1.77</v>
      </c>
      <c r="FX44">
        <v>1.77</v>
      </c>
      <c r="FY44">
        <v>1.726</v>
      </c>
      <c r="GA44" t="s">
        <v>142</v>
      </c>
      <c r="GB44" s="18">
        <v>42580</v>
      </c>
      <c r="GC44" s="19">
        <v>0.33333333333333331</v>
      </c>
      <c r="GD44">
        <v>0.41</v>
      </c>
      <c r="GE44">
        <v>0.41</v>
      </c>
      <c r="GF44">
        <v>0.63700000000000001</v>
      </c>
    </row>
    <row r="45" spans="1:188" x14ac:dyDescent="0.3">
      <c r="A45" t="s">
        <v>142</v>
      </c>
      <c r="B45">
        <v>42486</v>
      </c>
      <c r="C45" s="19">
        <v>0.6875</v>
      </c>
      <c r="D45">
        <v>0.47720000000000001</v>
      </c>
      <c r="E45">
        <v>0.47499999999999998</v>
      </c>
      <c r="F45">
        <v>0.501</v>
      </c>
      <c r="H45" t="s">
        <v>143</v>
      </c>
      <c r="I45" s="18">
        <v>42488</v>
      </c>
      <c r="J45" s="19">
        <v>0.66736111111111107</v>
      </c>
      <c r="K45">
        <v>5.3499999999999999E-2</v>
      </c>
      <c r="L45">
        <v>5.3499999999999999E-2</v>
      </c>
      <c r="M45">
        <v>2.8000000000000001E-2</v>
      </c>
      <c r="O45" t="s">
        <v>143</v>
      </c>
      <c r="P45" s="18">
        <v>42481</v>
      </c>
      <c r="Q45" s="19">
        <v>0.66736111111111107</v>
      </c>
      <c r="R45">
        <v>0.30099999999999999</v>
      </c>
      <c r="S45">
        <v>0.30099999999999999</v>
      </c>
      <c r="T45">
        <v>0.314</v>
      </c>
      <c r="V45" t="s">
        <v>143</v>
      </c>
      <c r="W45" s="18">
        <v>42487</v>
      </c>
      <c r="X45" s="19">
        <v>0.66805555555555551</v>
      </c>
      <c r="Y45">
        <v>0.6</v>
      </c>
      <c r="Z45">
        <v>0.52</v>
      </c>
      <c r="AA45">
        <v>0.40400000000000003</v>
      </c>
      <c r="AC45" t="s">
        <v>141</v>
      </c>
      <c r="AD45" s="18">
        <v>42481</v>
      </c>
      <c r="AE45" s="19">
        <v>0.67222222222222228</v>
      </c>
      <c r="AF45">
        <v>0.54</v>
      </c>
      <c r="AG45">
        <v>0.62</v>
      </c>
      <c r="AH45">
        <v>0.63800000000000001</v>
      </c>
      <c r="AJ45" t="s">
        <v>142</v>
      </c>
      <c r="AK45" s="18">
        <v>42569</v>
      </c>
      <c r="AL45" s="19">
        <v>0.67013888888888884</v>
      </c>
      <c r="AM45">
        <v>8.9999999999999993E-3</v>
      </c>
      <c r="AN45">
        <v>8.9999999999999993E-3</v>
      </c>
      <c r="AO45">
        <v>3.0000000000000001E-3</v>
      </c>
      <c r="AQ45" t="s">
        <v>139</v>
      </c>
      <c r="AR45" s="18">
        <v>42502</v>
      </c>
      <c r="AS45" s="19">
        <v>0.68055555555555558</v>
      </c>
      <c r="AT45">
        <v>9.1000000000000004E-3</v>
      </c>
      <c r="AU45">
        <v>1.15E-2</v>
      </c>
      <c r="AV45">
        <v>0.01</v>
      </c>
      <c r="BE45" t="s">
        <v>143</v>
      </c>
      <c r="BF45" s="18">
        <v>42494</v>
      </c>
      <c r="BG45" t="s">
        <v>164</v>
      </c>
      <c r="BH45">
        <v>-0.13350000000000001</v>
      </c>
      <c r="BI45">
        <v>-3.7999999999999999E-2</v>
      </c>
      <c r="BJ45">
        <v>-0.04</v>
      </c>
      <c r="BL45" t="s">
        <v>143</v>
      </c>
      <c r="BM45" s="18">
        <v>42474</v>
      </c>
      <c r="BN45" s="19">
        <v>0.70902777777777781</v>
      </c>
      <c r="BO45">
        <v>12.611599999999999</v>
      </c>
      <c r="BP45">
        <v>12.5</v>
      </c>
      <c r="BQ45">
        <v>12.708</v>
      </c>
      <c r="BS45" t="s">
        <v>142</v>
      </c>
      <c r="BT45" s="18">
        <v>42523</v>
      </c>
      <c r="BU45" s="19">
        <v>0.66805555555555551</v>
      </c>
      <c r="BV45">
        <v>7.4099999999999999E-2</v>
      </c>
      <c r="BW45">
        <v>0.253</v>
      </c>
      <c r="BX45">
        <v>0.24</v>
      </c>
      <c r="BZ45" t="s">
        <v>143</v>
      </c>
      <c r="CA45" s="18">
        <v>42481</v>
      </c>
      <c r="CB45" s="19">
        <v>0.67708333333333337</v>
      </c>
      <c r="CC45">
        <v>-0.14380000000000001</v>
      </c>
      <c r="CD45">
        <v>-0.12</v>
      </c>
      <c r="CE45">
        <v>-0.129</v>
      </c>
      <c r="CG45" t="s">
        <v>142</v>
      </c>
      <c r="CH45" s="18">
        <v>42459</v>
      </c>
      <c r="CI45" s="19">
        <v>0.6694444444444444</v>
      </c>
      <c r="CJ45">
        <v>-8.77E-2</v>
      </c>
      <c r="CK45">
        <v>-0.05</v>
      </c>
      <c r="CL45">
        <v>-8.6999999999999994E-2</v>
      </c>
      <c r="CN45" t="s">
        <v>143</v>
      </c>
      <c r="CO45" s="18">
        <v>42487</v>
      </c>
      <c r="CP45" s="19">
        <v>0.67013888888888884</v>
      </c>
      <c r="CQ45">
        <v>0.1241</v>
      </c>
      <c r="CR45">
        <v>0.1245</v>
      </c>
      <c r="CS45">
        <v>0.20499999999999999</v>
      </c>
      <c r="DI45" t="s">
        <v>143</v>
      </c>
      <c r="DJ45" s="18">
        <v>42494</v>
      </c>
      <c r="DK45" t="s">
        <v>144</v>
      </c>
      <c r="DL45">
        <v>-1.0999999999999999E-2</v>
      </c>
      <c r="DM45">
        <v>-6.0000000000000001E-3</v>
      </c>
      <c r="DN45">
        <v>-8.9999999999999993E-3</v>
      </c>
      <c r="DP45" t="s">
        <v>141</v>
      </c>
      <c r="DQ45" s="18">
        <v>42488</v>
      </c>
      <c r="DR45" s="19">
        <v>0.67013888888888884</v>
      </c>
      <c r="DS45">
        <v>3.2000000000000001E-2</v>
      </c>
      <c r="DT45">
        <v>3.5999999999999997E-2</v>
      </c>
      <c r="DU45">
        <v>3.4000000000000002E-2</v>
      </c>
      <c r="DW45" t="s">
        <v>140</v>
      </c>
      <c r="DX45" s="18">
        <v>42537</v>
      </c>
      <c r="DY45" s="19">
        <v>0.66666666666666663</v>
      </c>
      <c r="DZ45">
        <v>0.69099999999999995</v>
      </c>
      <c r="EA45">
        <v>0.81</v>
      </c>
      <c r="EB45">
        <v>0.81499999999999995</v>
      </c>
      <c r="ED45" t="s">
        <v>139</v>
      </c>
      <c r="EE45" s="18">
        <v>42508</v>
      </c>
      <c r="EF45" s="19">
        <v>0.67013888888888884</v>
      </c>
      <c r="EG45">
        <v>4.58E-2</v>
      </c>
      <c r="EH45">
        <v>0.24</v>
      </c>
      <c r="EI45">
        <v>0.23200000000000001</v>
      </c>
      <c r="EK45" t="s">
        <v>142</v>
      </c>
      <c r="EL45" s="18">
        <v>42542</v>
      </c>
      <c r="EM45" s="19">
        <v>0.67013888888888884</v>
      </c>
      <c r="EN45">
        <v>0.48520000000000002</v>
      </c>
      <c r="EO45">
        <v>0.71</v>
      </c>
      <c r="EP45">
        <v>0.68</v>
      </c>
      <c r="ER45" t="s">
        <v>143</v>
      </c>
      <c r="ES45" s="18">
        <v>42480</v>
      </c>
      <c r="ET45" s="19">
        <v>0.66666666666666663</v>
      </c>
      <c r="EU45">
        <v>-0.1951</v>
      </c>
      <c r="EV45">
        <v>1.7999999999999999E-2</v>
      </c>
      <c r="EW45">
        <v>1.4E-2</v>
      </c>
      <c r="EY45" t="s">
        <v>143</v>
      </c>
      <c r="EZ45" s="18">
        <v>42486</v>
      </c>
      <c r="FA45" s="19">
        <v>0.2673611111111111</v>
      </c>
      <c r="FB45">
        <v>0.71789999999999998</v>
      </c>
      <c r="FC45">
        <v>0.83</v>
      </c>
      <c r="FD45">
        <v>0.84599999999999997</v>
      </c>
      <c r="FF45" t="s">
        <v>142</v>
      </c>
      <c r="FG45" s="18">
        <v>42570</v>
      </c>
      <c r="FH45" s="19">
        <v>0.24652777777777779</v>
      </c>
      <c r="FI45">
        <v>1.7858000000000001</v>
      </c>
      <c r="FJ45">
        <v>1.96</v>
      </c>
      <c r="FK45">
        <v>1.887</v>
      </c>
      <c r="FM45" t="s">
        <v>137</v>
      </c>
      <c r="FN45" s="18">
        <v>43020</v>
      </c>
      <c r="FO45" s="19">
        <v>0.28125</v>
      </c>
      <c r="FP45">
        <v>1.7404999999999999</v>
      </c>
      <c r="FQ45">
        <v>1.7465999999999999</v>
      </c>
      <c r="FR45">
        <v>1.653</v>
      </c>
      <c r="FT45" t="s">
        <v>141</v>
      </c>
      <c r="FU45" s="18">
        <v>42515</v>
      </c>
      <c r="FV45" s="19">
        <v>0.875</v>
      </c>
      <c r="FW45">
        <v>1.24</v>
      </c>
      <c r="FX45">
        <v>1.24</v>
      </c>
      <c r="FY45">
        <v>1.22</v>
      </c>
      <c r="GA45" t="s">
        <v>143</v>
      </c>
      <c r="GB45" s="18">
        <v>42489</v>
      </c>
      <c r="GC45" s="19">
        <v>0.33333333333333331</v>
      </c>
      <c r="GD45">
        <v>0.43</v>
      </c>
      <c r="GE45">
        <v>0.43</v>
      </c>
      <c r="GF45">
        <v>0.28799999999999998</v>
      </c>
    </row>
    <row r="46" spans="1:188" x14ac:dyDescent="0.3">
      <c r="A46" t="s">
        <v>143</v>
      </c>
      <c r="B46">
        <v>42395</v>
      </c>
      <c r="C46" s="19">
        <v>0.6875</v>
      </c>
      <c r="D46">
        <v>0.80620000000000003</v>
      </c>
      <c r="E46">
        <v>0.82</v>
      </c>
      <c r="F46">
        <v>0.80600000000000005</v>
      </c>
      <c r="H46" t="s">
        <v>145</v>
      </c>
      <c r="I46" s="18">
        <v>42397</v>
      </c>
      <c r="J46" s="19">
        <v>0.66736111111111107</v>
      </c>
      <c r="K46">
        <v>0.05</v>
      </c>
      <c r="L46">
        <v>0.05</v>
      </c>
      <c r="M46">
        <v>7.6999999999999999E-2</v>
      </c>
      <c r="O46" t="s">
        <v>145</v>
      </c>
      <c r="P46" s="18">
        <v>42401</v>
      </c>
      <c r="Q46" s="19">
        <v>0.66736111111111107</v>
      </c>
      <c r="R46">
        <v>0.35310000000000002</v>
      </c>
      <c r="S46">
        <v>0.35310000000000002</v>
      </c>
      <c r="T46">
        <v>0.32800000000000001</v>
      </c>
      <c r="V46" t="s">
        <v>145</v>
      </c>
      <c r="W46" s="18">
        <v>42396</v>
      </c>
      <c r="X46" s="19">
        <v>0.67013888888888884</v>
      </c>
      <c r="Y46">
        <v>0.54</v>
      </c>
      <c r="Z46">
        <v>0.54</v>
      </c>
      <c r="AA46">
        <v>0.41699999999999998</v>
      </c>
      <c r="AC46" t="s">
        <v>142</v>
      </c>
      <c r="AD46" s="18">
        <v>42397</v>
      </c>
      <c r="AE46" s="19">
        <v>0.67222222222222228</v>
      </c>
      <c r="AF46">
        <v>0.74</v>
      </c>
      <c r="AG46">
        <v>0.78</v>
      </c>
      <c r="AH46">
        <v>0.71</v>
      </c>
      <c r="AJ46" t="s">
        <v>143</v>
      </c>
      <c r="AK46" s="18">
        <v>42478</v>
      </c>
      <c r="AL46" s="19">
        <v>0.67013888888888884</v>
      </c>
      <c r="AM46">
        <v>6.0000000000000001E-3</v>
      </c>
      <c r="AN46">
        <v>6.0000000000000001E-3</v>
      </c>
      <c r="AO46">
        <v>4.0000000000000001E-3</v>
      </c>
      <c r="AQ46" t="s">
        <v>140</v>
      </c>
      <c r="AR46" s="18">
        <v>42417</v>
      </c>
      <c r="AS46" s="19">
        <v>0.68055555555555558</v>
      </c>
      <c r="AT46">
        <v>1.0500000000000001E-2</v>
      </c>
      <c r="AU46">
        <v>1.2999999999999999E-2</v>
      </c>
      <c r="AV46">
        <v>1.0999999999999999E-2</v>
      </c>
      <c r="BE46" t="s">
        <v>145</v>
      </c>
      <c r="BF46" s="18">
        <v>42410</v>
      </c>
      <c r="BG46" t="s">
        <v>164</v>
      </c>
      <c r="BH46">
        <v>-0.16270000000000001</v>
      </c>
      <c r="BI46">
        <v>-5.8000000000000003E-2</v>
      </c>
      <c r="BJ46">
        <v>6.0000000000000001E-3</v>
      </c>
      <c r="BL46" t="s">
        <v>261</v>
      </c>
      <c r="BM46" s="18">
        <v>42383</v>
      </c>
      <c r="BN46" s="19">
        <v>0.76388888888888884</v>
      </c>
      <c r="BO46">
        <v>55.847799999999999</v>
      </c>
      <c r="BP46">
        <v>59.1</v>
      </c>
      <c r="BQ46">
        <v>58.656999999999996</v>
      </c>
      <c r="BS46" t="s">
        <v>143</v>
      </c>
      <c r="BT46" s="18">
        <v>42432</v>
      </c>
      <c r="BU46" s="19">
        <v>0.66736111111111107</v>
      </c>
      <c r="BV46">
        <v>0.1734</v>
      </c>
      <c r="BW46">
        <v>0.24099999999999999</v>
      </c>
      <c r="BX46">
        <v>0.23100000000000001</v>
      </c>
      <c r="BZ46" t="s">
        <v>145</v>
      </c>
      <c r="CA46" s="18">
        <v>42388</v>
      </c>
      <c r="CB46" s="19">
        <v>0.67708333333333337</v>
      </c>
      <c r="CC46">
        <v>-0.1212</v>
      </c>
      <c r="CD46">
        <v>-0.1</v>
      </c>
      <c r="CE46">
        <v>-0.104</v>
      </c>
      <c r="CG46" t="s">
        <v>143</v>
      </c>
      <c r="CH46" s="18">
        <v>42360</v>
      </c>
      <c r="CI46" s="19">
        <v>0.67013888888888884</v>
      </c>
      <c r="CJ46">
        <v>0.1694</v>
      </c>
      <c r="CK46">
        <v>0.24</v>
      </c>
      <c r="CL46">
        <v>0.23300000000000001</v>
      </c>
      <c r="CN46" t="s">
        <v>145</v>
      </c>
      <c r="CO46" s="18">
        <v>42396</v>
      </c>
      <c r="CP46" s="19">
        <v>0.67013888888888884</v>
      </c>
      <c r="CQ46">
        <v>0.33810000000000001</v>
      </c>
      <c r="CR46">
        <v>0.37940000000000002</v>
      </c>
      <c r="CS46">
        <v>0.245</v>
      </c>
      <c r="DI46" t="s">
        <v>145</v>
      </c>
      <c r="DJ46" s="18">
        <v>42417</v>
      </c>
      <c r="DK46" s="19">
        <v>0.29166666666666669</v>
      </c>
      <c r="DL46">
        <v>-8.0000000000000002E-3</v>
      </c>
      <c r="DM46">
        <v>-1E-3</v>
      </c>
      <c r="DN46">
        <v>-5.0000000000000001E-3</v>
      </c>
      <c r="DP46" t="s">
        <v>142</v>
      </c>
      <c r="DQ46" s="18">
        <v>42397</v>
      </c>
      <c r="DR46" s="19">
        <v>0.67013888888888884</v>
      </c>
      <c r="DS46">
        <v>6.7000000000000004E-2</v>
      </c>
      <c r="DT46">
        <v>7.2999999999999995E-2</v>
      </c>
      <c r="DU46">
        <v>7.0000000000000007E-2</v>
      </c>
      <c r="DW46" t="s">
        <v>141</v>
      </c>
      <c r="DX46" s="18">
        <v>42444</v>
      </c>
      <c r="DY46" s="19">
        <v>0.66666666666666663</v>
      </c>
      <c r="DZ46">
        <v>0.52129999999999999</v>
      </c>
      <c r="EA46">
        <v>0.64</v>
      </c>
      <c r="EB46">
        <v>0.62</v>
      </c>
      <c r="ED46" t="s">
        <v>140</v>
      </c>
      <c r="EE46" s="18">
        <v>42424</v>
      </c>
      <c r="EF46" s="19">
        <v>0.67013888888888884</v>
      </c>
      <c r="EG46">
        <v>-3.7699999999999997E-2</v>
      </c>
      <c r="EH46">
        <v>0.19</v>
      </c>
      <c r="EI46">
        <v>0.191</v>
      </c>
      <c r="EK46" t="s">
        <v>143</v>
      </c>
      <c r="EL46" s="18">
        <v>42446</v>
      </c>
      <c r="EM46" s="19">
        <v>0.67152777777777772</v>
      </c>
      <c r="EN46">
        <v>0.50090000000000001</v>
      </c>
      <c r="EO46">
        <v>0.66</v>
      </c>
      <c r="EP46">
        <v>0.60599999999999998</v>
      </c>
      <c r="ER46" t="s">
        <v>145</v>
      </c>
      <c r="ES46" s="18">
        <v>42396</v>
      </c>
      <c r="ET46" s="19">
        <v>0.67013888888888884</v>
      </c>
      <c r="EU46">
        <v>-4.5999999999999999E-2</v>
      </c>
      <c r="EV46">
        <v>3.7999999999999999E-2</v>
      </c>
      <c r="EW46">
        <v>1.7000000000000001E-2</v>
      </c>
      <c r="EY46" t="s">
        <v>145</v>
      </c>
      <c r="EZ46" s="18">
        <v>42397</v>
      </c>
      <c r="FA46" s="19">
        <v>0.26805555555555555</v>
      </c>
      <c r="FB46">
        <v>0.67390000000000005</v>
      </c>
      <c r="FC46">
        <v>0.78</v>
      </c>
      <c r="FD46">
        <v>0.78300000000000003</v>
      </c>
      <c r="FF46" t="s">
        <v>143</v>
      </c>
      <c r="FG46" s="18">
        <v>42479</v>
      </c>
      <c r="FH46" s="19">
        <v>0.24652777777777779</v>
      </c>
      <c r="FI46">
        <v>1.6465000000000001</v>
      </c>
      <c r="FJ46">
        <v>1.81</v>
      </c>
      <c r="FK46">
        <v>1.722</v>
      </c>
      <c r="FM46" t="s">
        <v>138</v>
      </c>
      <c r="FN46" s="18">
        <v>42930</v>
      </c>
      <c r="FO46" s="19">
        <v>0.28888888888888886</v>
      </c>
      <c r="FP46">
        <v>1.8229</v>
      </c>
      <c r="FQ46">
        <v>1.7125999999999999</v>
      </c>
      <c r="FR46">
        <v>1.583</v>
      </c>
      <c r="FT46" t="s">
        <v>142</v>
      </c>
      <c r="FU46" s="18">
        <v>42431</v>
      </c>
      <c r="FV46" s="19">
        <v>0.875</v>
      </c>
      <c r="FW46">
        <v>1.24</v>
      </c>
      <c r="FX46">
        <v>1.24</v>
      </c>
      <c r="FY46">
        <v>1.28</v>
      </c>
      <c r="GA46" t="s">
        <v>145</v>
      </c>
      <c r="GB46" s="18">
        <v>42402</v>
      </c>
      <c r="GC46" s="19">
        <v>0.33333333333333331</v>
      </c>
      <c r="GD46">
        <v>0.67</v>
      </c>
      <c r="GE46">
        <v>0.67</v>
      </c>
      <c r="GF46">
        <v>0.63800000000000001</v>
      </c>
    </row>
    <row r="47" spans="1:188" x14ac:dyDescent="0.3">
      <c r="A47" t="s">
        <v>145</v>
      </c>
      <c r="B47">
        <v>42304</v>
      </c>
      <c r="C47" s="19">
        <v>0.6875</v>
      </c>
      <c r="D47">
        <v>0.49149999999999999</v>
      </c>
      <c r="E47">
        <v>0.49</v>
      </c>
      <c r="F47">
        <v>0.47099999999999997</v>
      </c>
      <c r="H47" t="s">
        <v>146</v>
      </c>
      <c r="I47" s="18">
        <v>42299</v>
      </c>
      <c r="J47" s="19">
        <v>0.66736111111111107</v>
      </c>
      <c r="K47">
        <v>8.5000000000000006E-3</v>
      </c>
      <c r="L47">
        <v>8.5000000000000006E-3</v>
      </c>
      <c r="M47">
        <v>-7.0000000000000001E-3</v>
      </c>
      <c r="O47" t="s">
        <v>146</v>
      </c>
      <c r="P47" s="18">
        <v>42299</v>
      </c>
      <c r="Q47" s="19">
        <v>0.94930555555555551</v>
      </c>
      <c r="R47">
        <v>0.28649999999999998</v>
      </c>
      <c r="S47">
        <v>0.28649999999999998</v>
      </c>
      <c r="T47">
        <v>0.29099999999999998</v>
      </c>
      <c r="V47" t="s">
        <v>146</v>
      </c>
      <c r="W47" s="18">
        <v>42312</v>
      </c>
      <c r="X47" s="19">
        <v>0.66874999999999996</v>
      </c>
      <c r="Y47">
        <v>0.31</v>
      </c>
      <c r="Z47">
        <v>0.31</v>
      </c>
      <c r="AA47">
        <v>0.26600000000000001</v>
      </c>
      <c r="AC47" t="s">
        <v>143</v>
      </c>
      <c r="AD47" s="18">
        <v>42299</v>
      </c>
      <c r="AE47" s="19">
        <v>0.67222222222222228</v>
      </c>
      <c r="AF47">
        <v>0.63</v>
      </c>
      <c r="AG47">
        <v>0.67</v>
      </c>
      <c r="AH47">
        <v>0.58699999999999997</v>
      </c>
      <c r="AJ47" t="s">
        <v>145</v>
      </c>
      <c r="AK47" s="18">
        <v>42388</v>
      </c>
      <c r="AL47" s="19">
        <v>0.67013888888888884</v>
      </c>
      <c r="AM47">
        <v>0.01</v>
      </c>
      <c r="AN47">
        <v>7.0000000000000001E-3</v>
      </c>
      <c r="AO47">
        <v>2E-3</v>
      </c>
      <c r="AQ47" t="s">
        <v>141</v>
      </c>
      <c r="AR47" s="18">
        <v>42313</v>
      </c>
      <c r="AS47" s="19">
        <v>0.68055555555555558</v>
      </c>
      <c r="AT47">
        <v>1.15E-2</v>
      </c>
      <c r="AU47">
        <v>1.15E-2</v>
      </c>
      <c r="AV47">
        <v>8.9999999999999993E-3</v>
      </c>
      <c r="BE47" t="s">
        <v>146</v>
      </c>
      <c r="BF47" s="18">
        <v>42311</v>
      </c>
      <c r="BG47" s="19">
        <v>0.67222222222222228</v>
      </c>
      <c r="BH47">
        <v>-0.1187</v>
      </c>
      <c r="BI47">
        <v>-3.8699999999999998E-2</v>
      </c>
      <c r="BJ47">
        <v>-3.6999999999999998E-2</v>
      </c>
      <c r="BL47" t="s">
        <v>146</v>
      </c>
      <c r="BM47" s="18">
        <v>42292</v>
      </c>
      <c r="BN47" s="19">
        <v>0.59513888888888888</v>
      </c>
      <c r="BO47">
        <v>14.319100000000001</v>
      </c>
      <c r="BP47">
        <v>14.55</v>
      </c>
      <c r="BQ47">
        <v>14.273</v>
      </c>
      <c r="BS47" t="s">
        <v>145</v>
      </c>
      <c r="BT47" s="18">
        <v>42340</v>
      </c>
      <c r="BU47" s="19">
        <v>0.66736111111111107</v>
      </c>
      <c r="BV47">
        <v>0.1772</v>
      </c>
      <c r="BW47">
        <v>0.251</v>
      </c>
      <c r="BX47">
        <v>0.23899999999999999</v>
      </c>
      <c r="BZ47" t="s">
        <v>146</v>
      </c>
      <c r="CA47" s="18">
        <v>42292</v>
      </c>
      <c r="CB47" s="19">
        <v>0.67708333333333337</v>
      </c>
      <c r="CC47">
        <v>-0.1898</v>
      </c>
      <c r="CD47">
        <v>-0.09</v>
      </c>
      <c r="CE47">
        <v>-0.12</v>
      </c>
      <c r="CG47" t="s">
        <v>145</v>
      </c>
      <c r="CH47" s="18">
        <v>42278</v>
      </c>
      <c r="CI47" s="19">
        <v>0.66805555555555551</v>
      </c>
      <c r="CJ47">
        <v>0.38740000000000002</v>
      </c>
      <c r="CK47">
        <v>0.37</v>
      </c>
      <c r="CL47">
        <v>0.33100000000000002</v>
      </c>
      <c r="CN47" t="s">
        <v>146</v>
      </c>
      <c r="CO47" s="18">
        <v>42303</v>
      </c>
      <c r="CP47" s="19">
        <v>0.67013888888888884</v>
      </c>
      <c r="CQ47">
        <v>0.20649999999999999</v>
      </c>
      <c r="CR47">
        <v>0.20669999999999999</v>
      </c>
      <c r="CS47">
        <v>0.20399999999999999</v>
      </c>
      <c r="DI47" t="s">
        <v>146</v>
      </c>
      <c r="DJ47" s="18">
        <v>42312</v>
      </c>
      <c r="DK47" s="19">
        <v>0.29166666666666669</v>
      </c>
      <c r="DL47">
        <v>-6.0000000000000001E-3</v>
      </c>
      <c r="DM47">
        <v>-3.0000000000000001E-3</v>
      </c>
      <c r="DN47">
        <v>-6.0000000000000001E-3</v>
      </c>
      <c r="DP47" t="s">
        <v>143</v>
      </c>
      <c r="DQ47" s="18">
        <v>42299</v>
      </c>
      <c r="DR47" s="19">
        <v>0.67013888888888884</v>
      </c>
      <c r="DS47">
        <v>2.7E-2</v>
      </c>
      <c r="DT47">
        <v>4.4999999999999998E-2</v>
      </c>
      <c r="DU47">
        <v>4.3999999999999997E-2</v>
      </c>
      <c r="DW47" t="s">
        <v>142</v>
      </c>
      <c r="DX47" s="18">
        <v>42354</v>
      </c>
      <c r="DY47" s="19">
        <v>0.68680555555555556</v>
      </c>
      <c r="DZ47">
        <v>0.52429999999999999</v>
      </c>
      <c r="EA47">
        <v>0.63</v>
      </c>
      <c r="EB47">
        <v>0.6</v>
      </c>
      <c r="ED47" t="s">
        <v>141</v>
      </c>
      <c r="EE47" s="18">
        <v>42326</v>
      </c>
      <c r="EF47" s="19">
        <v>0.67013888888888884</v>
      </c>
      <c r="EG47">
        <v>-7.1999999999999995E-2</v>
      </c>
      <c r="EH47">
        <v>0.21</v>
      </c>
      <c r="EI47">
        <v>0.187</v>
      </c>
      <c r="EK47" t="s">
        <v>145</v>
      </c>
      <c r="EL47" s="18">
        <v>42348</v>
      </c>
      <c r="EM47" s="19">
        <v>0.67013888888888884</v>
      </c>
      <c r="EN47">
        <v>0.4012</v>
      </c>
      <c r="EO47">
        <v>0.62</v>
      </c>
      <c r="EP47">
        <v>0.6</v>
      </c>
      <c r="ER47" t="s">
        <v>146</v>
      </c>
      <c r="ES47" s="18">
        <v>42298</v>
      </c>
      <c r="ET47" s="19">
        <v>0.67013888888888884</v>
      </c>
      <c r="EU47">
        <v>-5.1999999999999998E-2</v>
      </c>
      <c r="EV47">
        <v>0.03</v>
      </c>
      <c r="EW47">
        <v>1.4999999999999999E-2</v>
      </c>
      <c r="EY47" t="s">
        <v>146</v>
      </c>
      <c r="EZ47" s="18">
        <v>42299</v>
      </c>
      <c r="FA47" s="19">
        <v>0.2673611111111111</v>
      </c>
      <c r="FB47">
        <v>0.78110000000000002</v>
      </c>
      <c r="FC47">
        <v>0.89</v>
      </c>
      <c r="FD47">
        <v>0.76</v>
      </c>
      <c r="FF47" t="s">
        <v>145</v>
      </c>
      <c r="FG47" s="18">
        <v>42388</v>
      </c>
      <c r="FH47" s="19">
        <v>0.24652777777777779</v>
      </c>
      <c r="FI47">
        <v>1.2318</v>
      </c>
      <c r="FJ47">
        <v>1.4</v>
      </c>
      <c r="FK47">
        <v>1.3819999999999999</v>
      </c>
      <c r="FM47" t="s">
        <v>139</v>
      </c>
      <c r="FN47" s="18">
        <v>42838</v>
      </c>
      <c r="FO47" s="19">
        <v>0.27847222222222223</v>
      </c>
      <c r="FP47">
        <v>1.6890000000000001</v>
      </c>
      <c r="FQ47">
        <v>1.5669999999999999</v>
      </c>
      <c r="FR47">
        <v>1.5169999999999999</v>
      </c>
      <c r="FT47" t="s">
        <v>143</v>
      </c>
      <c r="FU47" s="18">
        <v>42346</v>
      </c>
      <c r="FV47" s="19">
        <v>0.875</v>
      </c>
      <c r="FW47">
        <v>1.0900000000000001</v>
      </c>
      <c r="FX47">
        <v>1.0900000000000001</v>
      </c>
      <c r="FY47">
        <v>1.17</v>
      </c>
      <c r="GA47" t="s">
        <v>146</v>
      </c>
      <c r="GB47" s="18">
        <v>42307</v>
      </c>
      <c r="GC47" s="19">
        <v>0.33333333333333331</v>
      </c>
      <c r="GD47">
        <v>1.01</v>
      </c>
      <c r="GE47">
        <v>1.01</v>
      </c>
      <c r="GF47">
        <v>0.88600000000000001</v>
      </c>
    </row>
    <row r="48" spans="1:188" x14ac:dyDescent="0.3">
      <c r="A48" t="s">
        <v>146</v>
      </c>
      <c r="B48">
        <v>42206</v>
      </c>
      <c r="C48" s="19">
        <v>0.6875</v>
      </c>
      <c r="D48">
        <v>0.46260000000000001</v>
      </c>
      <c r="E48">
        <v>0.46250000000000002</v>
      </c>
      <c r="F48">
        <v>0.45300000000000001</v>
      </c>
      <c r="H48" t="s">
        <v>147</v>
      </c>
      <c r="I48" s="18">
        <v>42208</v>
      </c>
      <c r="J48" s="19">
        <v>0.67291666666666672</v>
      </c>
      <c r="K48">
        <v>9.4999999999999998E-3</v>
      </c>
      <c r="L48">
        <v>9.4999999999999998E-3</v>
      </c>
      <c r="M48">
        <v>-7.0000000000000001E-3</v>
      </c>
      <c r="O48" t="s">
        <v>147</v>
      </c>
      <c r="P48" s="18">
        <v>42201</v>
      </c>
      <c r="Q48" s="19">
        <v>0.66736111111111107</v>
      </c>
      <c r="R48">
        <v>0.2465</v>
      </c>
      <c r="S48">
        <v>0.2465</v>
      </c>
      <c r="T48">
        <v>0.27</v>
      </c>
      <c r="V48" t="s">
        <v>147</v>
      </c>
      <c r="W48" s="18">
        <v>42214</v>
      </c>
      <c r="X48" s="19">
        <v>0.66736111111111107</v>
      </c>
      <c r="Y48">
        <v>0.25</v>
      </c>
      <c r="Z48">
        <v>0.25</v>
      </c>
      <c r="AA48">
        <v>0.23</v>
      </c>
      <c r="AC48" t="s">
        <v>145</v>
      </c>
      <c r="AD48" s="18">
        <v>42206</v>
      </c>
      <c r="AE48" s="19">
        <v>0.67152777777777772</v>
      </c>
      <c r="AF48">
        <v>0.48980000000000001</v>
      </c>
      <c r="AG48">
        <v>0.62</v>
      </c>
      <c r="AH48">
        <v>0.57999999999999996</v>
      </c>
      <c r="AJ48" t="s">
        <v>146</v>
      </c>
      <c r="AK48" s="18">
        <v>42291</v>
      </c>
      <c r="AL48" s="19">
        <v>0.67013888888888884</v>
      </c>
      <c r="AM48">
        <v>7.0000000000000001E-3</v>
      </c>
      <c r="AN48">
        <v>7.0000000000000001E-3</v>
      </c>
      <c r="AO48">
        <v>8.0000000000000002E-3</v>
      </c>
      <c r="AQ48" t="s">
        <v>142</v>
      </c>
      <c r="AR48" s="18">
        <v>42222</v>
      </c>
      <c r="AS48" s="19">
        <v>0.68055555555555558</v>
      </c>
      <c r="AT48">
        <v>6.7000000000000002E-3</v>
      </c>
      <c r="AU48">
        <v>8.5000000000000006E-3</v>
      </c>
      <c r="AV48">
        <v>5.0000000000000001E-3</v>
      </c>
      <c r="BE48" t="s">
        <v>147</v>
      </c>
      <c r="BF48" s="18">
        <v>42221</v>
      </c>
      <c r="BG48" s="19">
        <v>0.68541666666666667</v>
      </c>
      <c r="BH48">
        <v>-9.6699999999999994E-2</v>
      </c>
      <c r="BI48">
        <v>-3.2000000000000001E-2</v>
      </c>
      <c r="BJ48">
        <v>-0.04</v>
      </c>
      <c r="BL48" t="s">
        <v>147</v>
      </c>
      <c r="BM48" s="18">
        <v>42201</v>
      </c>
      <c r="BN48" s="19">
        <v>0.75416666666666665</v>
      </c>
      <c r="BO48">
        <v>12.096399999999999</v>
      </c>
      <c r="BP48">
        <v>15.3</v>
      </c>
      <c r="BQ48">
        <v>13.712</v>
      </c>
      <c r="BS48" t="s">
        <v>146</v>
      </c>
      <c r="BT48" s="18">
        <v>42242</v>
      </c>
      <c r="BU48" s="19">
        <v>0.66805555555555551</v>
      </c>
      <c r="BV48">
        <v>0.1338</v>
      </c>
      <c r="BW48">
        <v>0.224</v>
      </c>
      <c r="BX48">
        <v>0.21199999999999999</v>
      </c>
      <c r="BZ48" t="s">
        <v>147</v>
      </c>
      <c r="CA48" s="18">
        <v>42201</v>
      </c>
      <c r="CB48" s="19">
        <v>0.67708333333333337</v>
      </c>
      <c r="CC48">
        <v>-0.19020000000000001</v>
      </c>
      <c r="CD48">
        <v>-0.17</v>
      </c>
      <c r="CE48">
        <v>-0.16700000000000001</v>
      </c>
      <c r="CG48" t="s">
        <v>146</v>
      </c>
      <c r="CH48" s="18">
        <v>42180</v>
      </c>
      <c r="CI48" s="19">
        <v>0.6694444444444444</v>
      </c>
      <c r="CJ48">
        <v>0.42780000000000001</v>
      </c>
      <c r="CK48">
        <v>0.54</v>
      </c>
      <c r="CL48">
        <v>0.57199999999999995</v>
      </c>
      <c r="CN48" t="s">
        <v>147</v>
      </c>
      <c r="CO48" s="18">
        <v>42212</v>
      </c>
      <c r="CP48" s="19">
        <v>0.66736111111111107</v>
      </c>
      <c r="CQ48">
        <v>0.19550000000000001</v>
      </c>
      <c r="CR48">
        <v>0.19570000000000001</v>
      </c>
      <c r="CS48">
        <v>0.14499999999999999</v>
      </c>
      <c r="DI48" t="s">
        <v>147</v>
      </c>
      <c r="DJ48" s="18">
        <v>42215</v>
      </c>
      <c r="DK48" s="19">
        <v>0.29166666666666669</v>
      </c>
      <c r="DL48">
        <v>-6.0000000000000001E-3</v>
      </c>
      <c r="DM48">
        <v>-3.0000000000000001E-3</v>
      </c>
      <c r="DN48">
        <v>-8.0000000000000002E-3</v>
      </c>
      <c r="DP48" t="s">
        <v>145</v>
      </c>
      <c r="DQ48" s="18">
        <v>42220</v>
      </c>
      <c r="DR48" s="19">
        <v>0.67013888888888884</v>
      </c>
      <c r="DS48">
        <v>5.0999999999999997E-2</v>
      </c>
      <c r="DT48">
        <v>5.7000000000000002E-2</v>
      </c>
      <c r="DU48">
        <v>5.6000000000000001E-2</v>
      </c>
      <c r="DW48" t="s">
        <v>143</v>
      </c>
      <c r="DX48" s="18">
        <v>42263</v>
      </c>
      <c r="DY48" s="19">
        <v>0.66666666666666663</v>
      </c>
      <c r="DZ48">
        <v>0.41889999999999999</v>
      </c>
      <c r="EA48">
        <v>0.53</v>
      </c>
      <c r="EB48">
        <v>0.52200000000000002</v>
      </c>
      <c r="ED48" t="s">
        <v>142</v>
      </c>
      <c r="EE48" s="18">
        <v>42236</v>
      </c>
      <c r="EF48" s="19">
        <v>0.67013888888888884</v>
      </c>
      <c r="EG48">
        <v>-1.1999999999999999E-3</v>
      </c>
      <c r="EH48">
        <v>0.19</v>
      </c>
      <c r="EI48">
        <v>0.17499999999999999</v>
      </c>
      <c r="EK48" t="s">
        <v>146</v>
      </c>
      <c r="EL48" s="18">
        <v>42264</v>
      </c>
      <c r="EM48" s="19">
        <v>0.66874999999999996</v>
      </c>
      <c r="EN48">
        <v>0.34100000000000003</v>
      </c>
      <c r="EO48">
        <v>0.54</v>
      </c>
      <c r="EP48">
        <v>0.497</v>
      </c>
      <c r="ER48" t="s">
        <v>147</v>
      </c>
      <c r="ES48" s="18">
        <v>42214</v>
      </c>
      <c r="ET48" s="19">
        <v>0.67013888888888884</v>
      </c>
      <c r="EU48">
        <v>-0.08</v>
      </c>
      <c r="EV48">
        <v>8.0000000000000002E-3</v>
      </c>
      <c r="EW48">
        <v>-5.0000000000000001E-3</v>
      </c>
      <c r="EY48" t="s">
        <v>147</v>
      </c>
      <c r="EZ48" s="18">
        <v>42208</v>
      </c>
      <c r="FA48" s="19">
        <v>0.2673611111111111</v>
      </c>
      <c r="FB48">
        <v>0.76819999999999999</v>
      </c>
      <c r="FC48">
        <v>0.9</v>
      </c>
      <c r="FD48">
        <v>0.73599999999999999</v>
      </c>
      <c r="FF48" t="s">
        <v>146</v>
      </c>
      <c r="FG48" s="18">
        <v>42292</v>
      </c>
      <c r="FH48" s="19">
        <v>0.24652777777777779</v>
      </c>
      <c r="FI48">
        <v>1.6312</v>
      </c>
      <c r="FJ48">
        <v>1.65</v>
      </c>
      <c r="FK48">
        <v>1.64</v>
      </c>
      <c r="FM48" t="s">
        <v>140</v>
      </c>
      <c r="FN48" s="18">
        <v>42748</v>
      </c>
      <c r="FO48" s="19">
        <v>0.33333333333333331</v>
      </c>
      <c r="FP48">
        <v>1.7509999999999999</v>
      </c>
      <c r="FQ48">
        <v>1.6206</v>
      </c>
      <c r="FR48">
        <v>1.427</v>
      </c>
      <c r="FT48" t="s">
        <v>145</v>
      </c>
      <c r="FU48" s="18">
        <v>42276</v>
      </c>
      <c r="FV48" s="19">
        <v>0.875</v>
      </c>
      <c r="FW48">
        <v>1.73</v>
      </c>
      <c r="FX48">
        <v>1.73</v>
      </c>
      <c r="FY48">
        <v>1.659</v>
      </c>
      <c r="GA48" t="s">
        <v>147</v>
      </c>
      <c r="GB48" s="18">
        <v>42216</v>
      </c>
      <c r="GC48" s="19">
        <v>0.33333333333333331</v>
      </c>
      <c r="GD48">
        <v>1</v>
      </c>
      <c r="GE48">
        <v>1</v>
      </c>
      <c r="GF48">
        <v>1.113</v>
      </c>
    </row>
    <row r="49" spans="1:188" x14ac:dyDescent="0.3">
      <c r="A49" t="s">
        <v>147</v>
      </c>
      <c r="B49">
        <v>42121</v>
      </c>
      <c r="C49" s="19">
        <v>0.6875</v>
      </c>
      <c r="D49">
        <v>0.58409999999999995</v>
      </c>
      <c r="E49">
        <v>0.58250000000000002</v>
      </c>
      <c r="F49">
        <v>0.54100000000000004</v>
      </c>
      <c r="H49" t="s">
        <v>148</v>
      </c>
      <c r="I49" s="18">
        <v>42117</v>
      </c>
      <c r="J49" s="19">
        <v>0.66736111111111107</v>
      </c>
      <c r="K49">
        <v>-6.0000000000000001E-3</v>
      </c>
      <c r="L49">
        <v>-6.0000000000000001E-3</v>
      </c>
      <c r="M49">
        <v>-7.0000000000000001E-3</v>
      </c>
      <c r="O49" t="s">
        <v>148</v>
      </c>
      <c r="P49" s="18">
        <v>42117</v>
      </c>
      <c r="Q49" t="s">
        <v>164</v>
      </c>
      <c r="R49">
        <v>0.255</v>
      </c>
      <c r="S49">
        <v>0.26</v>
      </c>
      <c r="T49">
        <v>0.26600000000000001</v>
      </c>
      <c r="V49" t="s">
        <v>148</v>
      </c>
      <c r="W49" s="18">
        <v>42116</v>
      </c>
      <c r="X49" s="19">
        <v>0.66736111111111107</v>
      </c>
      <c r="Y49">
        <v>0.18</v>
      </c>
      <c r="Z49">
        <v>0.18</v>
      </c>
      <c r="AA49">
        <v>0.17100000000000001</v>
      </c>
      <c r="AC49" t="s">
        <v>146</v>
      </c>
      <c r="AD49" s="18">
        <v>42117</v>
      </c>
      <c r="AE49" s="19">
        <v>0.67083333333333328</v>
      </c>
      <c r="AF49">
        <v>0.60670000000000002</v>
      </c>
      <c r="AG49">
        <v>0.61519999999999997</v>
      </c>
      <c r="AH49">
        <v>0.52800000000000002</v>
      </c>
      <c r="AJ49" t="s">
        <v>147</v>
      </c>
      <c r="AK49" s="18">
        <v>42200</v>
      </c>
      <c r="AL49" s="19">
        <v>0.67013888888888884</v>
      </c>
      <c r="AM49">
        <v>6.0000000000000001E-3</v>
      </c>
      <c r="AN49">
        <v>6.0000000000000001E-3</v>
      </c>
      <c r="AO49">
        <v>4.0000000000000001E-3</v>
      </c>
      <c r="AQ49" t="s">
        <v>143</v>
      </c>
      <c r="AR49" s="18">
        <v>42131</v>
      </c>
      <c r="AS49" s="19">
        <v>0.68055555555555558</v>
      </c>
      <c r="AT49">
        <v>6.4000000000000003E-3</v>
      </c>
      <c r="AU49">
        <v>8.3000000000000001E-3</v>
      </c>
      <c r="AV49">
        <v>8.9999999999999993E-3</v>
      </c>
      <c r="BE49" t="s">
        <v>148</v>
      </c>
      <c r="BF49" s="18">
        <v>42130</v>
      </c>
      <c r="BG49" s="19">
        <v>0.69027777777777777</v>
      </c>
      <c r="BH49">
        <v>-8.1299999999999997E-2</v>
      </c>
      <c r="BI49">
        <v>-2.4E-2</v>
      </c>
      <c r="BJ49">
        <v>-3.3000000000000002E-2</v>
      </c>
      <c r="BL49" t="s">
        <v>148</v>
      </c>
      <c r="BM49" s="18">
        <v>42104</v>
      </c>
      <c r="BN49" s="19">
        <v>0.67222222222222228</v>
      </c>
      <c r="BO49">
        <v>15.1736</v>
      </c>
      <c r="BP49">
        <v>15.25</v>
      </c>
      <c r="BQ49">
        <v>14.968</v>
      </c>
      <c r="BS49" t="s">
        <v>147</v>
      </c>
      <c r="BT49" s="18">
        <v>42152</v>
      </c>
      <c r="BU49" s="19">
        <v>0.29236111111111113</v>
      </c>
      <c r="BV49">
        <v>0.1426</v>
      </c>
      <c r="BW49">
        <v>0.21299999999999999</v>
      </c>
      <c r="BX49">
        <v>0.2</v>
      </c>
      <c r="BZ49" t="s">
        <v>148</v>
      </c>
      <c r="CA49" s="18">
        <v>42110</v>
      </c>
      <c r="CB49" s="19">
        <v>0.67708333333333337</v>
      </c>
      <c r="CC49">
        <v>-0.1197</v>
      </c>
      <c r="CD49">
        <v>-0.09</v>
      </c>
      <c r="CE49">
        <v>-5.1999999999999998E-2</v>
      </c>
      <c r="CG49" t="s">
        <v>147</v>
      </c>
      <c r="CH49" s="18">
        <v>42095</v>
      </c>
      <c r="CI49" s="19">
        <v>0.66805555555555551</v>
      </c>
      <c r="CJ49">
        <v>0.78159999999999996</v>
      </c>
      <c r="CK49">
        <v>0.81</v>
      </c>
      <c r="CL49">
        <v>0.72899999999999998</v>
      </c>
      <c r="CN49" t="s">
        <v>148</v>
      </c>
      <c r="CO49" s="18">
        <v>42122</v>
      </c>
      <c r="CP49" s="19">
        <v>0.67013888888888884</v>
      </c>
      <c r="CQ49">
        <v>0.17949999999999999</v>
      </c>
      <c r="CR49">
        <v>0.17899999999999999</v>
      </c>
      <c r="CS49">
        <v>0.11700000000000001</v>
      </c>
      <c r="DI49" t="s">
        <v>148</v>
      </c>
      <c r="DJ49" s="18">
        <v>42130</v>
      </c>
      <c r="DL49">
        <v>-1.2E-2</v>
      </c>
      <c r="DM49">
        <v>-2.4245362661989844E-14</v>
      </c>
      <c r="DN49">
        <v>-2.4245362661989844E-14</v>
      </c>
      <c r="DP49" t="s">
        <v>146</v>
      </c>
      <c r="DQ49" s="18">
        <v>42115</v>
      </c>
      <c r="DR49" s="19">
        <v>0.67013888888888884</v>
      </c>
      <c r="DS49">
        <v>4.3999999999999997E-2</v>
      </c>
      <c r="DT49">
        <v>4.7E-2</v>
      </c>
      <c r="DU49">
        <v>0.05</v>
      </c>
      <c r="DW49" t="s">
        <v>145</v>
      </c>
      <c r="DX49" s="18">
        <v>42172</v>
      </c>
      <c r="DY49" s="19">
        <v>0.68541666666666667</v>
      </c>
      <c r="DZ49">
        <v>0.65969999999999995</v>
      </c>
      <c r="EA49">
        <v>0.78</v>
      </c>
      <c r="EB49">
        <v>0.86499999999999999</v>
      </c>
      <c r="ED49" t="s">
        <v>143</v>
      </c>
      <c r="EE49" s="18">
        <v>42144</v>
      </c>
      <c r="EF49" s="19">
        <v>0.67013888888888884</v>
      </c>
      <c r="EG49">
        <v>-3.3500000000000002E-2</v>
      </c>
      <c r="EH49">
        <v>0.16</v>
      </c>
      <c r="EI49">
        <v>0.13800000000000001</v>
      </c>
      <c r="EK49" t="s">
        <v>147</v>
      </c>
      <c r="EL49" s="18">
        <v>42171</v>
      </c>
      <c r="EM49" s="19">
        <v>0.66874999999999996</v>
      </c>
      <c r="EN49">
        <v>0.28970000000000001</v>
      </c>
      <c r="EO49">
        <v>0.48</v>
      </c>
      <c r="EP49">
        <v>0.45300000000000001</v>
      </c>
      <c r="ER49" t="s">
        <v>148</v>
      </c>
      <c r="ES49" s="18">
        <v>42110</v>
      </c>
      <c r="ET49" s="19">
        <v>0.67013888888888884</v>
      </c>
      <c r="EU49">
        <v>-7.5999999999999998E-2</v>
      </c>
      <c r="EV49">
        <v>2E-3</v>
      </c>
      <c r="EW49">
        <v>-1E-3</v>
      </c>
      <c r="EY49" t="s">
        <v>148</v>
      </c>
      <c r="EZ49" s="18">
        <v>42117</v>
      </c>
      <c r="FA49" s="19">
        <v>0.2673611111111111</v>
      </c>
      <c r="FB49">
        <v>0.76290000000000002</v>
      </c>
      <c r="FC49">
        <v>0.87</v>
      </c>
      <c r="FD49">
        <v>0.76500000000000001</v>
      </c>
      <c r="FF49" t="s">
        <v>147</v>
      </c>
      <c r="FG49" s="18">
        <v>42201</v>
      </c>
      <c r="FH49" s="19">
        <v>0.25</v>
      </c>
      <c r="FI49">
        <v>1.5942000000000001</v>
      </c>
      <c r="FJ49">
        <v>1.64</v>
      </c>
      <c r="FK49">
        <v>1.585</v>
      </c>
      <c r="FM49" t="s">
        <v>141</v>
      </c>
      <c r="FN49" s="18">
        <v>42657</v>
      </c>
      <c r="FO49" s="19">
        <v>0.27847222222222223</v>
      </c>
      <c r="FP49">
        <v>1.5673999999999999</v>
      </c>
      <c r="FQ49">
        <v>1.59</v>
      </c>
      <c r="FR49">
        <v>1.39</v>
      </c>
      <c r="FT49" t="s">
        <v>146</v>
      </c>
      <c r="FU49" s="18">
        <v>42151</v>
      </c>
      <c r="FV49" s="19">
        <v>0.875</v>
      </c>
      <c r="FW49">
        <v>1.17</v>
      </c>
      <c r="FX49">
        <v>1.17</v>
      </c>
      <c r="FY49">
        <v>1.1559999999999999</v>
      </c>
      <c r="GA49" t="s">
        <v>148</v>
      </c>
      <c r="GB49" s="18">
        <v>42124</v>
      </c>
      <c r="GC49" s="19">
        <v>0.33333333333333331</v>
      </c>
      <c r="GD49">
        <v>1.17</v>
      </c>
      <c r="GE49">
        <v>1.17</v>
      </c>
      <c r="GF49">
        <v>0.82899999999999996</v>
      </c>
    </row>
    <row r="50" spans="1:188" x14ac:dyDescent="0.3">
      <c r="A50" t="s">
        <v>148</v>
      </c>
      <c r="B50">
        <v>42031</v>
      </c>
      <c r="C50" s="19">
        <v>0.6875</v>
      </c>
      <c r="D50">
        <v>0.76439999999999997</v>
      </c>
      <c r="E50">
        <v>0.76500000000000001</v>
      </c>
      <c r="F50">
        <v>0.65</v>
      </c>
      <c r="H50" t="s">
        <v>154</v>
      </c>
      <c r="I50" s="18">
        <v>42033</v>
      </c>
      <c r="J50" s="19">
        <v>0.66736111111111107</v>
      </c>
      <c r="K50">
        <v>2.2499999999999999E-2</v>
      </c>
      <c r="L50">
        <v>2.2499999999999999E-2</v>
      </c>
      <c r="M50">
        <v>8.9999999999999993E-3</v>
      </c>
      <c r="O50" t="s">
        <v>154</v>
      </c>
      <c r="P50" s="18">
        <v>42033</v>
      </c>
      <c r="Q50" t="s">
        <v>164</v>
      </c>
      <c r="R50">
        <v>0.26900000000000002</v>
      </c>
      <c r="S50">
        <v>0.27500000000000002</v>
      </c>
      <c r="T50">
        <v>0.28499999999999998</v>
      </c>
      <c r="V50" t="s">
        <v>154</v>
      </c>
      <c r="W50" s="18">
        <v>42032</v>
      </c>
      <c r="X50" s="19">
        <v>0.66736111111111107</v>
      </c>
      <c r="Y50">
        <v>0.25</v>
      </c>
      <c r="Z50">
        <v>0.25</v>
      </c>
      <c r="AA50">
        <v>0.24299999999999999</v>
      </c>
      <c r="AC50" t="s">
        <v>147</v>
      </c>
      <c r="AD50" s="18">
        <v>42030</v>
      </c>
      <c r="AE50" s="19">
        <v>0.6743055555555556</v>
      </c>
      <c r="AF50">
        <v>0.74519999999999997</v>
      </c>
      <c r="AG50">
        <v>0.77</v>
      </c>
      <c r="AH50">
        <v>0.748</v>
      </c>
      <c r="AJ50" t="s">
        <v>148</v>
      </c>
      <c r="AK50" s="18">
        <v>42109</v>
      </c>
      <c r="AL50" s="19">
        <v>0.67361111111111116</v>
      </c>
      <c r="AM50">
        <v>5.4000000000000003E-3</v>
      </c>
      <c r="AN50">
        <v>5.4000000000000003E-3</v>
      </c>
      <c r="AO50">
        <v>8.9999999999999993E-3</v>
      </c>
      <c r="AQ50" t="s">
        <v>145</v>
      </c>
      <c r="AR50" s="18">
        <v>42046</v>
      </c>
      <c r="AS50" s="19">
        <v>0.68055555555555558</v>
      </c>
      <c r="AT50">
        <v>8.8000000000000005E-3</v>
      </c>
      <c r="AU50">
        <v>1.0800000000000001E-2</v>
      </c>
      <c r="AV50">
        <v>8.9999999999999993E-3</v>
      </c>
      <c r="BE50" t="s">
        <v>154</v>
      </c>
      <c r="BF50" s="18">
        <v>42046</v>
      </c>
      <c r="BG50" s="19">
        <v>0.72916666666666663</v>
      </c>
      <c r="BH50">
        <v>-5.7299999999999997E-2</v>
      </c>
      <c r="BI50">
        <v>-8.6999999999999994E-3</v>
      </c>
      <c r="BJ50">
        <v>2.1000000000000001E-2</v>
      </c>
      <c r="BL50" t="s">
        <v>262</v>
      </c>
      <c r="BM50" s="18">
        <v>42019</v>
      </c>
      <c r="BN50" s="19">
        <v>0.60555555555555551</v>
      </c>
      <c r="BO50">
        <v>50.991700000000002</v>
      </c>
      <c r="BP50">
        <v>50.9</v>
      </c>
      <c r="BQ50">
        <v>50.347000000000001</v>
      </c>
      <c r="BS50" t="s">
        <v>148</v>
      </c>
      <c r="BT50" s="18">
        <v>42060</v>
      </c>
      <c r="BU50" s="19">
        <v>0.67361111111111116</v>
      </c>
      <c r="BV50">
        <v>0.1421</v>
      </c>
      <c r="BW50">
        <v>0.20899999999999999</v>
      </c>
      <c r="BX50">
        <v>0.193</v>
      </c>
      <c r="BZ50" t="s">
        <v>154</v>
      </c>
      <c r="CA50" s="18">
        <v>42024</v>
      </c>
      <c r="CB50" s="19">
        <v>0.67708333333333337</v>
      </c>
      <c r="CC50">
        <v>-0.1103</v>
      </c>
      <c r="CD50">
        <v>0</v>
      </c>
      <c r="CE50">
        <v>0.01</v>
      </c>
      <c r="CG50" t="s">
        <v>148</v>
      </c>
      <c r="CH50" s="18">
        <v>42010</v>
      </c>
      <c r="CI50" s="19">
        <v>0.66736111111111107</v>
      </c>
      <c r="CJ50">
        <v>0.88419999999999999</v>
      </c>
      <c r="CK50">
        <v>0.97</v>
      </c>
      <c r="CL50">
        <v>0.92100000000000004</v>
      </c>
      <c r="CN50" t="s">
        <v>154</v>
      </c>
      <c r="CO50" s="18">
        <v>42030</v>
      </c>
      <c r="CP50" s="19">
        <v>0.66736111111111107</v>
      </c>
      <c r="CQ50">
        <v>0.217</v>
      </c>
      <c r="CR50">
        <v>0.19900000000000001</v>
      </c>
      <c r="CS50">
        <v>0.10100000000000001</v>
      </c>
      <c r="DI50" t="s">
        <v>149</v>
      </c>
      <c r="DJ50" s="18">
        <v>42130</v>
      </c>
      <c r="DL50">
        <v>-1.0999999999999999E-2</v>
      </c>
      <c r="DM50">
        <v>-2.4245362661989844E-14</v>
      </c>
      <c r="DN50">
        <v>-2.4245362661989844E-14</v>
      </c>
      <c r="DP50" t="s">
        <v>147</v>
      </c>
      <c r="DQ50" s="18">
        <v>42024</v>
      </c>
      <c r="DR50" s="19">
        <v>0.67013888888888884</v>
      </c>
      <c r="DS50">
        <v>6.0999999999999999E-2</v>
      </c>
      <c r="DT50">
        <v>6.5000000000000002E-2</v>
      </c>
      <c r="DU50">
        <v>4.7E-2</v>
      </c>
      <c r="DW50" t="s">
        <v>146</v>
      </c>
      <c r="DX50" s="18">
        <v>42080</v>
      </c>
      <c r="DY50" s="19">
        <v>0.66666666666666663</v>
      </c>
      <c r="DZ50">
        <v>0.56869999999999998</v>
      </c>
      <c r="EA50">
        <v>0.68</v>
      </c>
      <c r="EB50">
        <v>0.68100000000000005</v>
      </c>
      <c r="ED50" t="s">
        <v>145</v>
      </c>
      <c r="EE50" s="18">
        <v>42060</v>
      </c>
      <c r="EF50" s="19">
        <v>0.67013888888888884</v>
      </c>
      <c r="EG50">
        <v>-0.1028</v>
      </c>
      <c r="EH50">
        <v>0.14000000000000001</v>
      </c>
      <c r="EI50">
        <v>0.13600000000000001</v>
      </c>
      <c r="EK50" t="s">
        <v>148</v>
      </c>
      <c r="EL50" s="18">
        <v>42080</v>
      </c>
      <c r="EM50" s="19">
        <v>0.67013888888888884</v>
      </c>
      <c r="EN50">
        <v>0.17069999999999999</v>
      </c>
      <c r="EO50">
        <v>0.44</v>
      </c>
      <c r="EP50">
        <v>0.38500000000000001</v>
      </c>
      <c r="ER50" t="s">
        <v>154</v>
      </c>
      <c r="ES50" s="18">
        <v>42032</v>
      </c>
      <c r="ET50" s="19">
        <v>0.67013888888888884</v>
      </c>
      <c r="EU50">
        <v>-0.06</v>
      </c>
      <c r="EV50">
        <v>6.0000000000000001E-3</v>
      </c>
      <c r="EW50">
        <v>4.0000000000000001E-3</v>
      </c>
      <c r="EY50" t="s">
        <v>154</v>
      </c>
      <c r="EZ50" s="18">
        <v>42034</v>
      </c>
      <c r="FA50" s="19">
        <v>0.2673611111111111</v>
      </c>
      <c r="FB50">
        <v>0.65800000000000003</v>
      </c>
      <c r="FC50">
        <v>0.75</v>
      </c>
      <c r="FD50">
        <v>0.73299999999999998</v>
      </c>
      <c r="FF50" t="s">
        <v>148</v>
      </c>
      <c r="FG50" s="18">
        <v>42110</v>
      </c>
      <c r="FH50" s="19">
        <v>0.25</v>
      </c>
      <c r="FI50">
        <v>1.458</v>
      </c>
      <c r="FJ50">
        <v>1.46</v>
      </c>
      <c r="FK50">
        <v>1.3480000000000001</v>
      </c>
      <c r="FM50" t="s">
        <v>142</v>
      </c>
      <c r="FN50" s="18">
        <v>42565</v>
      </c>
      <c r="FO50" s="19">
        <v>0.28125</v>
      </c>
      <c r="FP50">
        <v>1.4395</v>
      </c>
      <c r="FQ50">
        <v>1.4269000000000001</v>
      </c>
      <c r="FR50">
        <v>1.431</v>
      </c>
      <c r="FT50" t="s">
        <v>147</v>
      </c>
      <c r="FU50" s="18">
        <v>42068</v>
      </c>
      <c r="FV50" s="19">
        <v>0.12569444444444444</v>
      </c>
      <c r="FW50">
        <v>1.2213000000000001</v>
      </c>
      <c r="FX50">
        <v>1.2502</v>
      </c>
      <c r="FY50">
        <v>1.1819999999999999</v>
      </c>
      <c r="GA50" t="s">
        <v>154</v>
      </c>
      <c r="GB50" s="18">
        <v>42037</v>
      </c>
      <c r="GC50" s="19">
        <v>0.33333333333333331</v>
      </c>
      <c r="GD50">
        <v>1.4878</v>
      </c>
      <c r="GE50">
        <v>1.56</v>
      </c>
      <c r="GF50">
        <v>1.339</v>
      </c>
    </row>
    <row r="51" spans="1:188" x14ac:dyDescent="0.3">
      <c r="A51" t="s">
        <v>154</v>
      </c>
      <c r="B51">
        <v>41932</v>
      </c>
      <c r="C51" s="19">
        <v>0.6875</v>
      </c>
      <c r="D51">
        <v>0.35289999999999999</v>
      </c>
      <c r="E51">
        <v>0.35499999999999998</v>
      </c>
      <c r="F51">
        <v>0.32600000000000001</v>
      </c>
      <c r="H51" t="s">
        <v>149</v>
      </c>
      <c r="I51" s="18">
        <v>41935</v>
      </c>
      <c r="J51" s="19">
        <v>0.66736111111111107</v>
      </c>
      <c r="K51">
        <v>-4.7500000000000001E-2</v>
      </c>
      <c r="L51">
        <v>-4.7500000000000001E-2</v>
      </c>
      <c r="M51">
        <v>-3.7999999999999999E-2</v>
      </c>
      <c r="O51" t="s">
        <v>149</v>
      </c>
      <c r="P51" s="18">
        <v>41928</v>
      </c>
      <c r="Q51" t="s">
        <v>164</v>
      </c>
      <c r="R51">
        <v>0.1968</v>
      </c>
      <c r="S51">
        <v>0.218</v>
      </c>
      <c r="T51">
        <v>0.27</v>
      </c>
      <c r="V51" t="s">
        <v>149</v>
      </c>
      <c r="W51" s="18">
        <v>41940</v>
      </c>
      <c r="X51" s="19">
        <v>0.66736111111111107</v>
      </c>
      <c r="Y51">
        <v>0.3</v>
      </c>
      <c r="Z51">
        <v>0.3</v>
      </c>
      <c r="AA51">
        <v>0.30599999999999999</v>
      </c>
      <c r="AC51" t="s">
        <v>148</v>
      </c>
      <c r="AD51" s="18">
        <v>41935</v>
      </c>
      <c r="AE51" s="19">
        <v>0.82638888888888884</v>
      </c>
      <c r="AF51">
        <v>0.64270000000000005</v>
      </c>
      <c r="AG51">
        <v>0.65</v>
      </c>
      <c r="AH51">
        <v>0.55100000000000005</v>
      </c>
      <c r="AJ51" t="s">
        <v>154</v>
      </c>
      <c r="AK51" s="18">
        <v>42024</v>
      </c>
      <c r="AL51" s="19">
        <v>0.67013888888888884</v>
      </c>
      <c r="AM51">
        <v>1.9300000000000001E-2</v>
      </c>
      <c r="AN51">
        <v>1.03E-2</v>
      </c>
      <c r="AO51">
        <v>6.0000000000000001E-3</v>
      </c>
      <c r="AQ51" t="s">
        <v>146</v>
      </c>
      <c r="AR51" s="18">
        <v>41949</v>
      </c>
      <c r="AS51" s="19">
        <v>0.68055555555555558</v>
      </c>
      <c r="AT51">
        <v>7.7999999999999996E-3</v>
      </c>
      <c r="AU51">
        <v>9.7999999999999997E-3</v>
      </c>
      <c r="AV51">
        <v>8.9999999999999993E-3</v>
      </c>
      <c r="BE51" t="s">
        <v>149</v>
      </c>
      <c r="BF51" s="18">
        <v>41948</v>
      </c>
      <c r="BG51" t="s">
        <v>164</v>
      </c>
      <c r="BH51">
        <v>-0.04</v>
      </c>
      <c r="BI51">
        <v>1.2999999999999999E-3</v>
      </c>
      <c r="BJ51">
        <v>0</v>
      </c>
      <c r="BL51" t="s">
        <v>149</v>
      </c>
      <c r="BM51" s="18">
        <v>41928</v>
      </c>
      <c r="BN51" s="19">
        <v>0.67569444444444449</v>
      </c>
      <c r="BO51">
        <v>14.9086</v>
      </c>
      <c r="BP51">
        <v>14.7</v>
      </c>
      <c r="BQ51">
        <v>13.83</v>
      </c>
      <c r="BS51" t="s">
        <v>154</v>
      </c>
      <c r="BT51" s="18">
        <v>41976</v>
      </c>
      <c r="BU51" s="19">
        <v>0.67013888888888884</v>
      </c>
      <c r="BV51">
        <v>6.3600000000000004E-2</v>
      </c>
      <c r="BW51">
        <v>0.19900000000000001</v>
      </c>
      <c r="BX51">
        <v>0.17</v>
      </c>
      <c r="BZ51" t="s">
        <v>149</v>
      </c>
      <c r="CA51" s="18">
        <v>41928</v>
      </c>
      <c r="CB51" s="19">
        <v>0.67708333333333337</v>
      </c>
      <c r="CC51">
        <v>0.02</v>
      </c>
      <c r="CD51">
        <v>0.03</v>
      </c>
      <c r="CE51">
        <v>0.04</v>
      </c>
      <c r="CG51" t="s">
        <v>154</v>
      </c>
      <c r="CH51" s="18">
        <v>41907</v>
      </c>
      <c r="CI51" s="19">
        <v>0.66666666666666663</v>
      </c>
      <c r="CJ51">
        <v>0.91620000000000001</v>
      </c>
      <c r="CK51">
        <v>0.82</v>
      </c>
      <c r="CL51">
        <v>0.81</v>
      </c>
      <c r="CN51" t="s">
        <v>149</v>
      </c>
      <c r="CO51" s="18">
        <v>41939</v>
      </c>
      <c r="CP51" s="19">
        <v>0.67013888888888884</v>
      </c>
      <c r="CQ51">
        <v>5.91E-2</v>
      </c>
      <c r="CR51">
        <v>-7.0000000000000001E-3</v>
      </c>
      <c r="CS51">
        <v>-1.0999999999999999E-2</v>
      </c>
      <c r="DI51" t="s">
        <v>150</v>
      </c>
      <c r="DJ51" s="18">
        <v>42130</v>
      </c>
      <c r="DL51">
        <v>-1.7999999999999999E-2</v>
      </c>
      <c r="DM51">
        <v>-2.4245362661989844E-14</v>
      </c>
      <c r="DN51">
        <v>-2.4245362661989844E-14</v>
      </c>
      <c r="DP51" t="s">
        <v>148</v>
      </c>
      <c r="DQ51" s="18">
        <v>41933</v>
      </c>
      <c r="DR51" s="19">
        <v>0.67013888888888884</v>
      </c>
      <c r="DS51">
        <v>4.2000000000000003E-2</v>
      </c>
      <c r="DT51">
        <v>4.5999999999999999E-2</v>
      </c>
      <c r="DU51">
        <v>3.7999999999999999E-2</v>
      </c>
      <c r="DW51" t="s">
        <v>147</v>
      </c>
      <c r="DX51" s="18">
        <v>41990</v>
      </c>
      <c r="DY51" s="19">
        <v>0.66666666666666663</v>
      </c>
      <c r="DZ51">
        <v>0.56499999999999995</v>
      </c>
      <c r="EA51">
        <v>0.69</v>
      </c>
      <c r="EB51">
        <v>0.68300000000000005</v>
      </c>
      <c r="ED51" t="s">
        <v>146</v>
      </c>
      <c r="EE51" s="18">
        <v>41962</v>
      </c>
      <c r="EF51" s="19">
        <v>0.67013888888888884</v>
      </c>
      <c r="EG51">
        <v>-7.9600000000000004E-2</v>
      </c>
      <c r="EH51">
        <v>0.14000000000000001</v>
      </c>
      <c r="EI51">
        <v>0.128</v>
      </c>
      <c r="EK51" t="s">
        <v>154</v>
      </c>
      <c r="EL51" s="18">
        <v>41984</v>
      </c>
      <c r="EM51" s="19">
        <v>0.67013888888888884</v>
      </c>
      <c r="EN51">
        <v>0.1696</v>
      </c>
      <c r="EO51">
        <v>0.36</v>
      </c>
      <c r="EP51">
        <v>0.29599999999999999</v>
      </c>
      <c r="ER51" t="s">
        <v>149</v>
      </c>
      <c r="ES51" s="18">
        <v>41934</v>
      </c>
      <c r="ET51" s="19">
        <v>0.67013888888888884</v>
      </c>
      <c r="EU51">
        <v>-5.57E-2</v>
      </c>
      <c r="EV51">
        <v>6.0000000000000001E-3</v>
      </c>
      <c r="EW51">
        <v>3.0000000000000001E-3</v>
      </c>
      <c r="EY51" t="s">
        <v>149</v>
      </c>
      <c r="EZ51" s="18">
        <v>41935</v>
      </c>
      <c r="FA51" s="19">
        <v>0.27083333333333331</v>
      </c>
      <c r="FB51">
        <v>0.60319999999999996</v>
      </c>
      <c r="FC51">
        <v>0.66</v>
      </c>
      <c r="FD51">
        <v>0.66500000000000004</v>
      </c>
      <c r="FF51" t="s">
        <v>154</v>
      </c>
      <c r="FG51" s="18">
        <v>42025</v>
      </c>
      <c r="FH51" s="19">
        <v>0.25</v>
      </c>
      <c r="FI51">
        <v>1.5313000000000001</v>
      </c>
      <c r="FJ51">
        <v>1.55</v>
      </c>
      <c r="FK51">
        <v>1.5</v>
      </c>
      <c r="FM51" t="s">
        <v>143</v>
      </c>
      <c r="FN51" s="18">
        <v>42473</v>
      </c>
      <c r="FO51" s="19">
        <v>0.28125</v>
      </c>
      <c r="FP51">
        <v>1.3420000000000001</v>
      </c>
      <c r="FQ51">
        <v>1.4091</v>
      </c>
      <c r="FR51">
        <v>1.254</v>
      </c>
      <c r="FT51" t="s">
        <v>148</v>
      </c>
      <c r="FU51" s="18">
        <v>41983</v>
      </c>
      <c r="FV51" s="19">
        <v>0.12569444444444444</v>
      </c>
      <c r="FW51">
        <v>1.1200000000000001</v>
      </c>
      <c r="FX51">
        <v>1.1200000000000001</v>
      </c>
      <c r="FY51">
        <v>1.091</v>
      </c>
      <c r="GA51" t="s">
        <v>149</v>
      </c>
      <c r="GB51" s="18">
        <v>41943</v>
      </c>
      <c r="GC51" s="19">
        <v>0.33541666666666664</v>
      </c>
      <c r="GD51">
        <v>1.89</v>
      </c>
      <c r="GE51">
        <v>1.89</v>
      </c>
      <c r="GF51">
        <v>1.708</v>
      </c>
    </row>
    <row r="52" spans="1:188" x14ac:dyDescent="0.3">
      <c r="A52" t="s">
        <v>149</v>
      </c>
      <c r="B52">
        <v>41842</v>
      </c>
      <c r="C52" s="19">
        <v>0.6875</v>
      </c>
      <c r="D52">
        <v>0.31869999999999998</v>
      </c>
      <c r="E52">
        <v>0.32</v>
      </c>
      <c r="F52">
        <v>0.309</v>
      </c>
      <c r="H52" t="s">
        <v>150</v>
      </c>
      <c r="I52" s="18">
        <v>41844</v>
      </c>
      <c r="J52" s="19">
        <v>0.6791666666666667</v>
      </c>
      <c r="K52">
        <v>-1.35E-2</v>
      </c>
      <c r="L52">
        <v>-1.35E-2</v>
      </c>
      <c r="M52">
        <v>-8.0000000000000002E-3</v>
      </c>
      <c r="O52" t="s">
        <v>150</v>
      </c>
      <c r="P52" s="18">
        <v>41837</v>
      </c>
      <c r="Q52" t="s">
        <v>164</v>
      </c>
      <c r="R52">
        <v>0.249</v>
      </c>
      <c r="S52">
        <v>0.2545</v>
      </c>
      <c r="T52">
        <v>0.253</v>
      </c>
      <c r="V52" t="s">
        <v>150</v>
      </c>
      <c r="W52" s="18">
        <v>41843</v>
      </c>
      <c r="X52" s="19">
        <v>0.67013888888888884</v>
      </c>
      <c r="Y52">
        <v>0.3</v>
      </c>
      <c r="Z52">
        <v>0.3</v>
      </c>
      <c r="AA52">
        <v>0.245</v>
      </c>
      <c r="AC52" t="s">
        <v>154</v>
      </c>
      <c r="AD52" s="18">
        <v>41842</v>
      </c>
      <c r="AE52" s="19">
        <v>0.66805555555555551</v>
      </c>
      <c r="AF52">
        <v>0.57299999999999995</v>
      </c>
      <c r="AG52">
        <v>0.57999999999999996</v>
      </c>
      <c r="AH52">
        <v>0.60399999999999998</v>
      </c>
      <c r="AJ52" t="s">
        <v>149</v>
      </c>
      <c r="AK52" s="18">
        <v>41927</v>
      </c>
      <c r="AL52" s="19">
        <v>0.67013888888888884</v>
      </c>
      <c r="AM52">
        <v>1.37E-2</v>
      </c>
      <c r="AN52">
        <v>1.37E-2</v>
      </c>
      <c r="AO52">
        <v>1.2999999999999999E-2</v>
      </c>
      <c r="AQ52" t="s">
        <v>147</v>
      </c>
      <c r="AR52" s="18">
        <v>41858</v>
      </c>
      <c r="AS52" s="19">
        <v>0.68055555555555558</v>
      </c>
      <c r="AT52">
        <v>5.5999999999999999E-3</v>
      </c>
      <c r="AU52">
        <v>7.4999999999999997E-3</v>
      </c>
      <c r="AV52">
        <v>7.0000000000000001E-3</v>
      </c>
      <c r="BE52" t="s">
        <v>150</v>
      </c>
      <c r="BF52" s="18">
        <v>41851</v>
      </c>
      <c r="BG52" s="19">
        <v>0.67638888888888893</v>
      </c>
      <c r="BH52">
        <v>-3.3300000000000003E-2</v>
      </c>
      <c r="BI52">
        <v>7.3000000000000001E-3</v>
      </c>
      <c r="BJ52">
        <v>3.0000000000000001E-3</v>
      </c>
      <c r="BL52" t="s">
        <v>150</v>
      </c>
      <c r="BM52" s="18">
        <v>41836</v>
      </c>
      <c r="BN52" s="19">
        <v>0.70625000000000004</v>
      </c>
      <c r="BO52">
        <v>11.084</v>
      </c>
      <c r="BP52">
        <v>11.5</v>
      </c>
      <c r="BQ52">
        <v>10.848000000000001</v>
      </c>
      <c r="BS52" t="s">
        <v>149</v>
      </c>
      <c r="BT52" s="18">
        <v>41879</v>
      </c>
      <c r="BU52" s="19">
        <v>0.66805555555555551</v>
      </c>
      <c r="BV52">
        <v>9.1000000000000004E-3</v>
      </c>
      <c r="BW52">
        <v>0.126</v>
      </c>
      <c r="BX52">
        <v>0.104</v>
      </c>
      <c r="BZ52" t="s">
        <v>150</v>
      </c>
      <c r="CA52" s="18">
        <v>41837</v>
      </c>
      <c r="CB52" s="19">
        <v>0.67708333333333337</v>
      </c>
      <c r="CC52">
        <v>-8.3000000000000001E-3</v>
      </c>
      <c r="CD52">
        <v>0.02</v>
      </c>
      <c r="CE52">
        <v>2.7E-2</v>
      </c>
      <c r="CG52" t="s">
        <v>149</v>
      </c>
      <c r="CH52" s="18">
        <v>41813</v>
      </c>
      <c r="CI52" s="19">
        <v>0.67638888888888893</v>
      </c>
      <c r="CJ52">
        <v>0.70020000000000004</v>
      </c>
      <c r="CK52">
        <v>0.79</v>
      </c>
      <c r="CL52">
        <v>0.72299999999999998</v>
      </c>
      <c r="CN52" t="s">
        <v>150</v>
      </c>
      <c r="CO52" s="18">
        <v>41848</v>
      </c>
      <c r="CP52" s="19">
        <v>0.67013888888888884</v>
      </c>
      <c r="CQ52">
        <v>-8.9700000000000002E-2</v>
      </c>
      <c r="CR52">
        <v>-9.0999999999999998E-2</v>
      </c>
      <c r="CS52">
        <v>-8.0000000000000002E-3</v>
      </c>
      <c r="DI52" t="s">
        <v>151</v>
      </c>
      <c r="DJ52" s="18">
        <v>42130</v>
      </c>
      <c r="DL52">
        <v>-1.6E-2</v>
      </c>
      <c r="DM52">
        <v>-2.4245362661989844E-14</v>
      </c>
      <c r="DN52">
        <v>-2.4245362661989844E-14</v>
      </c>
      <c r="DP52" t="s">
        <v>154</v>
      </c>
      <c r="DQ52" s="18">
        <v>41856</v>
      </c>
      <c r="DR52" s="19">
        <v>0.67013888888888884</v>
      </c>
      <c r="DS52">
        <v>3.4000000000000002E-2</v>
      </c>
      <c r="DT52">
        <v>0.04</v>
      </c>
      <c r="DU52">
        <v>3.9E-2</v>
      </c>
      <c r="DW52" t="s">
        <v>148</v>
      </c>
      <c r="DX52" s="18">
        <v>41900</v>
      </c>
      <c r="DY52" s="19">
        <v>0.66736111111111107</v>
      </c>
      <c r="DZ52">
        <v>0.495</v>
      </c>
      <c r="EA52">
        <v>0.62</v>
      </c>
      <c r="EB52">
        <v>0.63900000000000001</v>
      </c>
      <c r="ED52" t="s">
        <v>147</v>
      </c>
      <c r="EE52" s="18">
        <v>41872</v>
      </c>
      <c r="EF52" s="19">
        <v>0.67013888888888884</v>
      </c>
      <c r="EG52">
        <v>-9.9599999999999994E-2</v>
      </c>
      <c r="EH52">
        <v>0.13</v>
      </c>
      <c r="EI52">
        <v>0.11899999999999999</v>
      </c>
      <c r="EK52" t="s">
        <v>149</v>
      </c>
      <c r="EL52" s="18">
        <v>41898</v>
      </c>
      <c r="EM52" s="19">
        <v>0.66805555555555551</v>
      </c>
      <c r="EN52">
        <v>8.8900000000000007E-2</v>
      </c>
      <c r="EO52">
        <v>0.28000000000000003</v>
      </c>
      <c r="EP52">
        <v>0.26400000000000001</v>
      </c>
      <c r="ER52" t="s">
        <v>150</v>
      </c>
      <c r="ES52" s="18">
        <v>41850</v>
      </c>
      <c r="ET52" s="19">
        <v>0.67013888888888884</v>
      </c>
      <c r="EU52">
        <v>-6.93E-2</v>
      </c>
      <c r="EV52">
        <v>-1.4E-2</v>
      </c>
      <c r="EW52">
        <v>-1.4E-2</v>
      </c>
      <c r="EY52" t="s">
        <v>150</v>
      </c>
      <c r="EZ52" s="18">
        <v>41844</v>
      </c>
      <c r="FA52" s="19">
        <v>0.27083333333333331</v>
      </c>
      <c r="FB52">
        <v>0.64</v>
      </c>
      <c r="FC52">
        <v>0.68</v>
      </c>
      <c r="FD52">
        <v>0.65200000000000002</v>
      </c>
      <c r="FF52" t="s">
        <v>149</v>
      </c>
      <c r="FG52" s="18">
        <v>41928</v>
      </c>
      <c r="FH52" s="19">
        <v>0.25</v>
      </c>
      <c r="FI52">
        <v>1.6101000000000001</v>
      </c>
      <c r="FJ52">
        <v>1.63</v>
      </c>
      <c r="FK52">
        <v>1.5329999999999999</v>
      </c>
      <c r="FM52" t="s">
        <v>145</v>
      </c>
      <c r="FN52" s="18">
        <v>42383</v>
      </c>
      <c r="FO52" s="19">
        <v>0.28125</v>
      </c>
      <c r="FP52">
        <v>1.2525999999999999</v>
      </c>
      <c r="FQ52">
        <v>1.401</v>
      </c>
      <c r="FR52">
        <v>1.27</v>
      </c>
      <c r="FT52" t="s">
        <v>154</v>
      </c>
      <c r="FU52" s="18">
        <v>41920</v>
      </c>
      <c r="FV52" s="19">
        <v>0.12569444444444444</v>
      </c>
      <c r="FW52">
        <v>1.58</v>
      </c>
      <c r="FX52">
        <v>1.58</v>
      </c>
      <c r="FY52">
        <v>1.5229999999999999</v>
      </c>
      <c r="GA52" t="s">
        <v>150</v>
      </c>
      <c r="GB52" s="18">
        <v>41851</v>
      </c>
      <c r="GC52" s="19">
        <v>0.33541666666666664</v>
      </c>
      <c r="GD52">
        <v>2.0499999999999998</v>
      </c>
      <c r="GE52">
        <v>2.0499999999999998</v>
      </c>
      <c r="GF52">
        <v>1.8620000000000001</v>
      </c>
    </row>
    <row r="53" spans="1:188" x14ac:dyDescent="0.3">
      <c r="A53" t="s">
        <v>150</v>
      </c>
      <c r="B53">
        <v>41752</v>
      </c>
      <c r="C53" s="19">
        <v>0.6875</v>
      </c>
      <c r="D53">
        <v>0.41339999999999999</v>
      </c>
      <c r="E53">
        <v>0.41499999999999998</v>
      </c>
      <c r="F53">
        <v>0.36399999999999999</v>
      </c>
      <c r="H53" t="s">
        <v>151</v>
      </c>
      <c r="I53" s="18">
        <v>41753</v>
      </c>
      <c r="J53" s="19">
        <v>0.67013888888888884</v>
      </c>
      <c r="K53">
        <v>1.15E-2</v>
      </c>
      <c r="L53">
        <v>1.15E-2</v>
      </c>
      <c r="M53">
        <v>1.0999999999999999E-2</v>
      </c>
      <c r="O53" t="s">
        <v>151</v>
      </c>
      <c r="P53" s="18">
        <v>41745</v>
      </c>
      <c r="Q53" t="s">
        <v>164</v>
      </c>
      <c r="R53">
        <v>0.26650000000000001</v>
      </c>
      <c r="S53">
        <v>0.26650000000000001</v>
      </c>
      <c r="T53">
        <v>0.26800000000000002</v>
      </c>
      <c r="V53" t="s">
        <v>151</v>
      </c>
      <c r="W53" s="18">
        <v>41752</v>
      </c>
      <c r="X53" s="19">
        <v>0.66736111111111107</v>
      </c>
      <c r="Y53">
        <v>0.25</v>
      </c>
      <c r="Z53">
        <v>0.25</v>
      </c>
      <c r="AA53">
        <v>0.17</v>
      </c>
      <c r="AC53" t="s">
        <v>149</v>
      </c>
      <c r="AD53" s="18">
        <v>41753</v>
      </c>
      <c r="AE53" s="19">
        <v>0.66874999999999996</v>
      </c>
      <c r="AF53">
        <v>0.67300000000000004</v>
      </c>
      <c r="AG53">
        <v>0.68</v>
      </c>
      <c r="AH53">
        <v>0.63</v>
      </c>
      <c r="AJ53" t="s">
        <v>150</v>
      </c>
      <c r="AK53" s="18">
        <v>41841</v>
      </c>
      <c r="AL53" s="19">
        <v>0.67013888888888884</v>
      </c>
      <c r="AM53">
        <v>1.6400000000000001E-2</v>
      </c>
      <c r="AN53">
        <v>1.6400000000000001E-2</v>
      </c>
      <c r="AO53">
        <v>1.6E-2</v>
      </c>
      <c r="AQ53" t="s">
        <v>148</v>
      </c>
      <c r="AR53" s="18">
        <v>41765</v>
      </c>
      <c r="AS53" s="19">
        <v>0.375</v>
      </c>
      <c r="AT53">
        <v>5.4000000000000003E-3</v>
      </c>
      <c r="AU53">
        <v>7.3000000000000001E-3</v>
      </c>
      <c r="AV53">
        <v>5.0000000000000001E-3</v>
      </c>
      <c r="BE53" t="s">
        <v>151</v>
      </c>
      <c r="BF53" s="18">
        <v>41766</v>
      </c>
      <c r="BG53" s="19">
        <v>0.6743055555555556</v>
      </c>
      <c r="BH53">
        <v>-2.6700000000000002E-2</v>
      </c>
      <c r="BI53">
        <v>8.0000000000000002E-3</v>
      </c>
      <c r="BJ53">
        <v>5.0000000000000001E-3</v>
      </c>
      <c r="BL53" t="s">
        <v>151</v>
      </c>
      <c r="BM53" s="18">
        <v>41746</v>
      </c>
      <c r="BN53" s="19">
        <v>0.71527777777777779</v>
      </c>
      <c r="BO53">
        <v>9.2067999999999994</v>
      </c>
      <c r="BP53">
        <v>9.25</v>
      </c>
      <c r="BQ53">
        <v>8.625</v>
      </c>
      <c r="BS53" t="s">
        <v>150</v>
      </c>
      <c r="BT53" s="18">
        <v>41788</v>
      </c>
      <c r="BU53" s="19">
        <v>0.67013888888888884</v>
      </c>
      <c r="BV53">
        <v>6.7799999999999999E-2</v>
      </c>
      <c r="BW53">
        <v>8.5000000000000006E-2</v>
      </c>
      <c r="BX53">
        <v>7.6999999999999999E-2</v>
      </c>
      <c r="BZ53" t="s">
        <v>151</v>
      </c>
      <c r="CA53" s="18">
        <v>41746</v>
      </c>
      <c r="CB53" s="19">
        <v>0.67708333333333337</v>
      </c>
      <c r="CC53">
        <v>-5.1999999999999998E-3</v>
      </c>
      <c r="CD53">
        <v>0.02</v>
      </c>
      <c r="CE53">
        <v>4.0000000000000001E-3</v>
      </c>
      <c r="CG53" t="s">
        <v>150</v>
      </c>
      <c r="CH53" s="18">
        <v>41732</v>
      </c>
      <c r="CI53" s="19">
        <v>0.66805555555555551</v>
      </c>
      <c r="CJ53">
        <v>0.67820000000000003</v>
      </c>
      <c r="CK53">
        <v>0.85</v>
      </c>
      <c r="CL53">
        <v>0.753</v>
      </c>
      <c r="CN53" t="s">
        <v>151</v>
      </c>
      <c r="CO53" s="18">
        <v>41757</v>
      </c>
      <c r="CP53" s="19">
        <v>0.33333333333333331</v>
      </c>
      <c r="CQ53">
        <v>-5.6899999999999999E-2</v>
      </c>
      <c r="CR53">
        <v>-5.7000000000000002E-2</v>
      </c>
      <c r="CS53">
        <v>0.01</v>
      </c>
      <c r="DI53" t="s">
        <v>152</v>
      </c>
      <c r="DJ53" s="18">
        <v>42130</v>
      </c>
      <c r="DL53">
        <v>-4.0000000000000001E-3</v>
      </c>
      <c r="DM53">
        <v>-2.4245362661989844E-14</v>
      </c>
      <c r="DN53">
        <v>-2.4245362661989844E-14</v>
      </c>
      <c r="DP53" t="s">
        <v>149</v>
      </c>
      <c r="DQ53" s="18">
        <v>41751</v>
      </c>
      <c r="DR53" s="19">
        <v>0.67013888888888884</v>
      </c>
      <c r="DS53">
        <v>3.5000000000000003E-2</v>
      </c>
      <c r="DT53">
        <v>0.04</v>
      </c>
      <c r="DU53">
        <v>2.7E-2</v>
      </c>
      <c r="DW53" t="s">
        <v>154</v>
      </c>
      <c r="DX53" s="18">
        <v>41809</v>
      </c>
      <c r="DY53" s="19">
        <v>0.66736111111111107</v>
      </c>
      <c r="DZ53">
        <v>0.80789999999999995</v>
      </c>
      <c r="EA53">
        <v>0.92</v>
      </c>
      <c r="EB53">
        <v>0.95499999999999996</v>
      </c>
      <c r="ED53" t="s">
        <v>148</v>
      </c>
      <c r="EE53" s="18">
        <v>41779</v>
      </c>
      <c r="EF53" s="19">
        <v>0.67013888888888884</v>
      </c>
      <c r="EG53">
        <v>-0.14810000000000001</v>
      </c>
      <c r="EH53">
        <v>0.11</v>
      </c>
      <c r="EI53">
        <v>9.8000000000000004E-2</v>
      </c>
      <c r="EK53" t="s">
        <v>150</v>
      </c>
      <c r="EL53" s="18">
        <v>41807</v>
      </c>
      <c r="EM53" s="19">
        <v>0.67708333333333337</v>
      </c>
      <c r="EN53">
        <v>0.16850000000000001</v>
      </c>
      <c r="EO53">
        <v>0.37</v>
      </c>
      <c r="EP53">
        <v>0.29899999999999999</v>
      </c>
      <c r="ER53" t="s">
        <v>151</v>
      </c>
      <c r="ES53" s="18">
        <v>41752</v>
      </c>
      <c r="ET53" s="19">
        <v>0.66736111111111107</v>
      </c>
      <c r="EU53">
        <v>-0.06</v>
      </c>
      <c r="EV53">
        <v>-1.6E-2</v>
      </c>
      <c r="EW53">
        <v>-1.6E-2</v>
      </c>
      <c r="EY53" t="s">
        <v>151</v>
      </c>
      <c r="EZ53" s="18">
        <v>41753</v>
      </c>
      <c r="FA53" s="19">
        <v>0.27083333333333331</v>
      </c>
      <c r="FB53">
        <v>0.65269999999999995</v>
      </c>
      <c r="FC53">
        <v>0.7</v>
      </c>
      <c r="FD53">
        <v>0.70399999999999996</v>
      </c>
      <c r="FF53" t="s">
        <v>150</v>
      </c>
      <c r="FG53" s="18">
        <v>41837</v>
      </c>
      <c r="FH53" s="19">
        <v>0.25</v>
      </c>
      <c r="FI53">
        <v>1.3498000000000001</v>
      </c>
      <c r="FJ53">
        <v>1.42</v>
      </c>
      <c r="FK53">
        <v>1.256</v>
      </c>
      <c r="FM53" t="s">
        <v>146</v>
      </c>
      <c r="FN53" s="18">
        <v>42290</v>
      </c>
      <c r="FO53" s="19">
        <v>0.67708333333333337</v>
      </c>
      <c r="FP53">
        <v>1.915</v>
      </c>
      <c r="FQ53">
        <v>1.2897000000000001</v>
      </c>
      <c r="FR53">
        <v>1.375</v>
      </c>
      <c r="FT53" t="s">
        <v>149</v>
      </c>
      <c r="FU53" s="18">
        <v>41788</v>
      </c>
      <c r="FV53" s="19">
        <v>0.12569444444444444</v>
      </c>
      <c r="FW53">
        <v>1.07</v>
      </c>
      <c r="FX53">
        <v>1.0684</v>
      </c>
      <c r="FY53">
        <v>1.0960000000000001</v>
      </c>
      <c r="GA53" t="s">
        <v>151</v>
      </c>
      <c r="GB53" s="18">
        <v>41760</v>
      </c>
      <c r="GC53" s="19">
        <v>0.33750000000000002</v>
      </c>
      <c r="GD53">
        <v>2.1</v>
      </c>
      <c r="GE53">
        <v>2.1</v>
      </c>
      <c r="GF53">
        <v>1.877</v>
      </c>
    </row>
    <row r="54" spans="1:188" x14ac:dyDescent="0.3">
      <c r="A54" t="s">
        <v>151</v>
      </c>
      <c r="B54">
        <v>41666</v>
      </c>
      <c r="C54" s="19">
        <v>0.6875</v>
      </c>
      <c r="D54">
        <v>0.51739999999999997</v>
      </c>
      <c r="E54">
        <v>0.51790000000000003</v>
      </c>
      <c r="F54">
        <v>0.502</v>
      </c>
      <c r="H54" t="s">
        <v>155</v>
      </c>
      <c r="I54" s="18">
        <v>41669</v>
      </c>
      <c r="J54" s="19">
        <v>0.67013888888888884</v>
      </c>
      <c r="K54">
        <v>2.5499999999999998E-2</v>
      </c>
      <c r="L54">
        <v>2.5499999999999998E-2</v>
      </c>
      <c r="M54">
        <v>3.5000000000000003E-2</v>
      </c>
      <c r="O54" t="s">
        <v>155</v>
      </c>
      <c r="P54" s="18">
        <v>41669</v>
      </c>
      <c r="Q54" t="s">
        <v>164</v>
      </c>
      <c r="R54">
        <v>0.28449999999999998</v>
      </c>
      <c r="S54">
        <v>0.24779999999999999</v>
      </c>
      <c r="T54">
        <v>0.254</v>
      </c>
      <c r="V54" t="s">
        <v>155</v>
      </c>
      <c r="W54" s="18">
        <v>41668</v>
      </c>
      <c r="X54" s="19">
        <v>0.67291666666666672</v>
      </c>
      <c r="Y54">
        <v>0.2</v>
      </c>
      <c r="Z54">
        <v>0.2</v>
      </c>
      <c r="AA54">
        <v>0.19800000000000001</v>
      </c>
      <c r="AC54" t="s">
        <v>150</v>
      </c>
      <c r="AD54" s="18">
        <v>41662</v>
      </c>
      <c r="AE54" s="19">
        <v>0.72916666666666663</v>
      </c>
      <c r="AF54">
        <v>0.77459999999999996</v>
      </c>
      <c r="AG54">
        <v>0.78</v>
      </c>
      <c r="AH54">
        <v>0.68400000000000005</v>
      </c>
      <c r="AJ54" t="s">
        <v>151</v>
      </c>
      <c r="AK54" s="18">
        <v>41750</v>
      </c>
      <c r="AL54" s="19">
        <v>0.67013888888888884</v>
      </c>
      <c r="AM54">
        <v>1.23E-2</v>
      </c>
      <c r="AN54">
        <v>1.23E-2</v>
      </c>
      <c r="AO54">
        <v>1.2E-2</v>
      </c>
      <c r="AQ54" t="s">
        <v>154</v>
      </c>
      <c r="AR54" s="18">
        <v>41682</v>
      </c>
      <c r="AS54" s="19">
        <v>0.68055555555555558</v>
      </c>
      <c r="AT54">
        <v>5.8999999999999999E-3</v>
      </c>
      <c r="AU54">
        <v>8.0000000000000002E-3</v>
      </c>
      <c r="AV54">
        <v>6.0000000000000001E-3</v>
      </c>
      <c r="BE54" t="s">
        <v>155</v>
      </c>
      <c r="BF54" s="18">
        <v>41689</v>
      </c>
      <c r="BG54" t="s">
        <v>164</v>
      </c>
      <c r="BH54">
        <v>-8.6999999999999994E-3</v>
      </c>
      <c r="BI54">
        <v>2.1999999999999999E-2</v>
      </c>
      <c r="BJ54">
        <v>1.7000000000000001E-2</v>
      </c>
      <c r="BL54" t="s">
        <v>263</v>
      </c>
      <c r="BM54" s="18">
        <v>41655</v>
      </c>
      <c r="BN54" s="19">
        <v>0.68333333333333335</v>
      </c>
      <c r="BO54">
        <v>35.901299999999999</v>
      </c>
      <c r="BP54">
        <v>36.299999999999997</v>
      </c>
      <c r="BQ54">
        <v>35.759</v>
      </c>
      <c r="BS54" t="s">
        <v>151</v>
      </c>
      <c r="BT54" s="18">
        <v>41695</v>
      </c>
      <c r="BU54" s="19">
        <v>0.67013888888888884</v>
      </c>
      <c r="BV54">
        <v>6.7100000000000007E-2</v>
      </c>
      <c r="BW54">
        <v>6.2E-2</v>
      </c>
      <c r="BX54">
        <v>7.9000000000000001E-2</v>
      </c>
      <c r="BZ54" t="s">
        <v>155</v>
      </c>
      <c r="CA54" s="18">
        <v>41660</v>
      </c>
      <c r="CB54" s="19">
        <v>0.6875</v>
      </c>
      <c r="CC54">
        <v>7.6999999999999999E-2</v>
      </c>
      <c r="CD54">
        <v>-2.4245362661989844E-14</v>
      </c>
      <c r="CE54">
        <v>5.6000000000000001E-2</v>
      </c>
      <c r="CG54" t="s">
        <v>151</v>
      </c>
      <c r="CH54" s="18">
        <v>41646</v>
      </c>
      <c r="CI54" s="19">
        <v>0.67152777777777772</v>
      </c>
      <c r="CJ54">
        <v>0.47010000000000002</v>
      </c>
      <c r="CK54">
        <v>0.77</v>
      </c>
      <c r="CL54">
        <v>0.51100000000000001</v>
      </c>
      <c r="CN54" t="s">
        <v>155</v>
      </c>
      <c r="CO54" s="18">
        <v>41666</v>
      </c>
      <c r="CP54" s="19">
        <v>0.85972222222222228</v>
      </c>
      <c r="CQ54">
        <v>0.14299999999999999</v>
      </c>
      <c r="CR54">
        <v>0.14299999999999999</v>
      </c>
      <c r="CS54">
        <v>0.112</v>
      </c>
      <c r="DI54" t="s">
        <v>153</v>
      </c>
      <c r="DJ54" s="18">
        <v>38469</v>
      </c>
      <c r="DL54">
        <v>-2.4245362661989844E-14</v>
      </c>
      <c r="DM54">
        <v>-2.4245362661989844E-14</v>
      </c>
      <c r="DN54">
        <v>-2.4245362661989844E-14</v>
      </c>
      <c r="DP54" t="s">
        <v>150</v>
      </c>
      <c r="DQ54" s="18">
        <v>41660</v>
      </c>
      <c r="DR54" s="19">
        <v>0.67013888888888884</v>
      </c>
      <c r="DS54">
        <v>0.03</v>
      </c>
      <c r="DT54">
        <v>3.5000000000000003E-2</v>
      </c>
      <c r="DU54">
        <v>2.5999999999999999E-2</v>
      </c>
      <c r="DW54" t="s">
        <v>149</v>
      </c>
      <c r="DX54" s="18">
        <v>41716</v>
      </c>
      <c r="DY54" s="19">
        <v>0.67013888888888884</v>
      </c>
      <c r="DZ54">
        <v>0.56489999999999996</v>
      </c>
      <c r="EA54">
        <v>0.68</v>
      </c>
      <c r="EB54">
        <v>0.70099999999999996</v>
      </c>
      <c r="ED54" t="s">
        <v>154</v>
      </c>
      <c r="EE54" s="18">
        <v>41697</v>
      </c>
      <c r="EF54" s="19">
        <v>0.67013888888888884</v>
      </c>
      <c r="EG54">
        <v>-0.19189999999999999</v>
      </c>
      <c r="EH54">
        <v>7.0000000000000007E-2</v>
      </c>
      <c r="EI54">
        <v>6.0999999999999999E-2</v>
      </c>
      <c r="EK54" t="s">
        <v>151</v>
      </c>
      <c r="EL54" s="18">
        <v>41716</v>
      </c>
      <c r="EM54" s="19">
        <v>0.67013888888888884</v>
      </c>
      <c r="EN54">
        <v>9.1700000000000004E-2</v>
      </c>
      <c r="EO54">
        <v>0.3</v>
      </c>
      <c r="EP54">
        <v>0.252</v>
      </c>
      <c r="ER54" t="s">
        <v>155</v>
      </c>
      <c r="ES54" s="18">
        <v>41668</v>
      </c>
      <c r="ET54" s="19">
        <v>0.66736111111111107</v>
      </c>
      <c r="EU54">
        <v>-3.4000000000000002E-2</v>
      </c>
      <c r="EV54">
        <v>-4.0000000000000001E-3</v>
      </c>
      <c r="EW54">
        <v>-3.0000000000000001E-3</v>
      </c>
      <c r="EY54" t="s">
        <v>155</v>
      </c>
      <c r="EZ54" s="18">
        <v>41669</v>
      </c>
      <c r="FA54" s="19">
        <v>0.27083333333333331</v>
      </c>
      <c r="FB54">
        <v>0.73529999999999995</v>
      </c>
      <c r="FC54">
        <v>0.74</v>
      </c>
      <c r="FD54">
        <v>0.73299999999999998</v>
      </c>
      <c r="FF54" t="s">
        <v>151</v>
      </c>
      <c r="FG54" s="18">
        <v>41746</v>
      </c>
      <c r="FH54" s="19">
        <v>0.25</v>
      </c>
      <c r="FI54">
        <v>1.07</v>
      </c>
      <c r="FJ54">
        <v>1.1000000000000001</v>
      </c>
      <c r="FK54">
        <v>1.089</v>
      </c>
      <c r="FM54" t="s">
        <v>147</v>
      </c>
      <c r="FN54" s="18">
        <v>42199</v>
      </c>
      <c r="FO54" s="19">
        <v>0.29097222222222224</v>
      </c>
      <c r="FP54">
        <v>1.5905</v>
      </c>
      <c r="FQ54">
        <v>1.4957</v>
      </c>
      <c r="FR54">
        <v>1.4450000000000001</v>
      </c>
      <c r="FT54" t="s">
        <v>150</v>
      </c>
      <c r="FU54" s="18">
        <v>41704</v>
      </c>
      <c r="FV54" s="19">
        <v>0.12569444444444444</v>
      </c>
      <c r="FW54">
        <v>1.05</v>
      </c>
      <c r="FX54">
        <v>1.05</v>
      </c>
      <c r="FY54">
        <v>1.167</v>
      </c>
      <c r="GA54" t="s">
        <v>155</v>
      </c>
      <c r="GB54" s="18">
        <v>41669</v>
      </c>
      <c r="GC54" s="19">
        <v>0.33541666666666664</v>
      </c>
      <c r="GD54">
        <v>1.91</v>
      </c>
      <c r="GE54">
        <v>-2.4245362661989844E-14</v>
      </c>
      <c r="GF54">
        <v>1.9079999999999999</v>
      </c>
    </row>
    <row r="55" spans="1:188" x14ac:dyDescent="0.3">
      <c r="A55" t="s">
        <v>155</v>
      </c>
      <c r="B55">
        <v>41575</v>
      </c>
      <c r="C55" s="19">
        <v>0.6875</v>
      </c>
      <c r="D55">
        <v>0.29499999999999998</v>
      </c>
      <c r="E55">
        <v>0.29499999999999998</v>
      </c>
      <c r="F55">
        <v>0.28299999999999997</v>
      </c>
      <c r="H55" t="s">
        <v>152</v>
      </c>
      <c r="I55" s="18">
        <v>41571</v>
      </c>
      <c r="J55" s="19">
        <v>0.67013888888888884</v>
      </c>
      <c r="K55">
        <v>-4.4999999999999997E-3</v>
      </c>
      <c r="L55">
        <v>-4.4999999999999997E-3</v>
      </c>
      <c r="M55">
        <v>-5.0000000000000001E-3</v>
      </c>
      <c r="O55" t="s">
        <v>152</v>
      </c>
      <c r="P55" s="18">
        <v>41564</v>
      </c>
      <c r="Q55" t="s">
        <v>164</v>
      </c>
      <c r="R55">
        <v>0.23300000000000001</v>
      </c>
      <c r="S55">
        <v>0.21779999999999999</v>
      </c>
      <c r="T55">
        <v>0.21199999999999999</v>
      </c>
      <c r="V55" t="s">
        <v>152</v>
      </c>
      <c r="W55" s="18">
        <v>41577</v>
      </c>
      <c r="X55" s="19">
        <v>0.67013888888888884</v>
      </c>
      <c r="Y55">
        <v>0.17</v>
      </c>
      <c r="Z55">
        <v>0.17</v>
      </c>
      <c r="AA55">
        <v>0.125</v>
      </c>
      <c r="AC55" t="s">
        <v>151</v>
      </c>
      <c r="AD55" s="18">
        <v>41571</v>
      </c>
      <c r="AE55" s="19">
        <v>0.66874999999999996</v>
      </c>
      <c r="AF55">
        <v>0.62050000000000005</v>
      </c>
      <c r="AG55">
        <v>0.62</v>
      </c>
      <c r="AH55">
        <v>0.54200000000000004</v>
      </c>
      <c r="AJ55" t="s">
        <v>155</v>
      </c>
      <c r="AK55" s="18">
        <v>41661</v>
      </c>
      <c r="AL55" s="19">
        <v>0.67013888888888884</v>
      </c>
      <c r="AM55">
        <v>1.1299999999999999E-2</v>
      </c>
      <c r="AN55">
        <v>1.1299999999999999E-2</v>
      </c>
      <c r="AO55">
        <v>8.9999999999999993E-3</v>
      </c>
      <c r="AQ55" t="s">
        <v>149</v>
      </c>
      <c r="AR55" s="18">
        <v>41585</v>
      </c>
      <c r="AS55" s="19">
        <v>0.68055555555555558</v>
      </c>
      <c r="AT55">
        <v>5.1000000000000004E-3</v>
      </c>
      <c r="AU55">
        <v>6.4999999999999997E-3</v>
      </c>
      <c r="AV55">
        <v>6.0000000000000001E-3</v>
      </c>
      <c r="BE55" t="s">
        <v>152</v>
      </c>
      <c r="BF55" s="18">
        <v>41583</v>
      </c>
      <c r="BG55" s="19">
        <v>0.66736111111111107</v>
      </c>
      <c r="BH55">
        <v>-2.1299999999999999E-2</v>
      </c>
      <c r="BI55">
        <v>8.0000000000000002E-3</v>
      </c>
      <c r="BJ55">
        <v>6.0000000000000001E-3</v>
      </c>
      <c r="BL55" t="s">
        <v>152</v>
      </c>
      <c r="BM55" s="18">
        <v>41564</v>
      </c>
      <c r="BN55" s="19">
        <v>0.69652777777777775</v>
      </c>
      <c r="BO55">
        <v>10.137600000000001</v>
      </c>
      <c r="BP55">
        <v>10</v>
      </c>
      <c r="BQ55">
        <v>9.9879999999999995</v>
      </c>
      <c r="BS55" t="s">
        <v>155</v>
      </c>
      <c r="BT55" s="18">
        <v>41612</v>
      </c>
      <c r="BU55" s="19">
        <v>0.67013888888888884</v>
      </c>
      <c r="BV55">
        <v>7.0800000000000002E-2</v>
      </c>
      <c r="BW55">
        <v>8.8999999999999996E-2</v>
      </c>
      <c r="BX55">
        <v>8.1000000000000003E-2</v>
      </c>
      <c r="BZ55" t="s">
        <v>152</v>
      </c>
      <c r="CA55" s="18">
        <v>41564</v>
      </c>
      <c r="CB55" s="19">
        <v>0.67708333333333337</v>
      </c>
      <c r="CC55">
        <v>4.1300000000000003E-2</v>
      </c>
      <c r="CD55">
        <v>0.04</v>
      </c>
      <c r="CE55">
        <v>2.1999999999999999E-2</v>
      </c>
      <c r="CG55" t="s">
        <v>155</v>
      </c>
      <c r="CH55" s="18">
        <v>41557</v>
      </c>
      <c r="CI55" s="19">
        <v>0.67222222222222228</v>
      </c>
      <c r="CJ55">
        <v>0.22939999999999999</v>
      </c>
      <c r="CK55">
        <v>0.21</v>
      </c>
      <c r="CL55">
        <v>0.28199999999999997</v>
      </c>
      <c r="CN55" t="s">
        <v>152</v>
      </c>
      <c r="CO55" s="18">
        <v>41575</v>
      </c>
      <c r="CP55" s="19">
        <v>0.83680555555555558</v>
      </c>
      <c r="CQ55">
        <v>0.152</v>
      </c>
      <c r="CR55">
        <v>0.152</v>
      </c>
      <c r="CS55">
        <v>0.02</v>
      </c>
      <c r="DP55" t="s">
        <v>151</v>
      </c>
      <c r="DQ55" s="18">
        <v>41569</v>
      </c>
      <c r="DR55" s="19">
        <v>0.67013888888888884</v>
      </c>
      <c r="DS55">
        <v>1.7000000000000001E-2</v>
      </c>
      <c r="DT55">
        <v>2.1999999999999999E-2</v>
      </c>
      <c r="DU55">
        <v>2.1999999999999999E-2</v>
      </c>
      <c r="DW55" t="s">
        <v>150</v>
      </c>
      <c r="DX55" s="18">
        <v>41626</v>
      </c>
      <c r="DY55" s="19">
        <v>0.6694444444444444</v>
      </c>
      <c r="DZ55">
        <v>0.57079999999999997</v>
      </c>
      <c r="EA55">
        <v>0.69</v>
      </c>
      <c r="EB55">
        <v>0.67200000000000004</v>
      </c>
      <c r="ED55" t="s">
        <v>149</v>
      </c>
      <c r="EE55" s="18">
        <v>41596</v>
      </c>
      <c r="EF55" s="19">
        <v>0.67013888888888884</v>
      </c>
      <c r="EG55">
        <v>-0.20979999999999999</v>
      </c>
      <c r="EH55">
        <v>0.09</v>
      </c>
      <c r="EI55">
        <v>8.6999999999999994E-2</v>
      </c>
      <c r="EK55" t="s">
        <v>155</v>
      </c>
      <c r="EL55" s="18">
        <v>41620</v>
      </c>
      <c r="EM55" s="19">
        <v>0.67013888888888884</v>
      </c>
      <c r="EN55">
        <v>0.1313</v>
      </c>
      <c r="EO55">
        <v>0.31780000000000003</v>
      </c>
      <c r="EP55">
        <v>0.33300000000000002</v>
      </c>
      <c r="ER55" t="s">
        <v>152</v>
      </c>
      <c r="ES55" s="18">
        <v>41570</v>
      </c>
      <c r="ET55" s="19">
        <v>0.66736111111111107</v>
      </c>
      <c r="EU55">
        <v>-2.1999999999999999E-2</v>
      </c>
      <c r="EV55">
        <v>2E-3</v>
      </c>
      <c r="EW55">
        <v>-4.0000000000000001E-3</v>
      </c>
      <c r="EY55" t="s">
        <v>152</v>
      </c>
      <c r="EZ55" s="18">
        <v>41570</v>
      </c>
      <c r="FA55" s="19">
        <v>0.27083333333333331</v>
      </c>
      <c r="FB55">
        <v>1.1104000000000001</v>
      </c>
      <c r="FC55">
        <v>1.1100000000000001</v>
      </c>
      <c r="FD55">
        <v>1.038</v>
      </c>
      <c r="FF55" t="s">
        <v>155</v>
      </c>
      <c r="FG55" s="18">
        <v>41655</v>
      </c>
      <c r="FH55" s="19">
        <v>0.25</v>
      </c>
      <c r="FI55">
        <v>1.3791</v>
      </c>
      <c r="FJ55">
        <v>1.41</v>
      </c>
      <c r="FK55">
        <v>1.405</v>
      </c>
      <c r="FM55" t="s">
        <v>148</v>
      </c>
      <c r="FN55" s="18">
        <v>42108</v>
      </c>
      <c r="FO55" s="19">
        <v>0.29097222222222224</v>
      </c>
      <c r="FP55">
        <v>1.5795999999999999</v>
      </c>
      <c r="FQ55">
        <v>1.6073</v>
      </c>
      <c r="FR55">
        <v>1.4119999999999999</v>
      </c>
      <c r="FT55" t="s">
        <v>151</v>
      </c>
      <c r="FU55" s="18">
        <v>41619</v>
      </c>
      <c r="FV55" s="19">
        <v>0.12569444444444444</v>
      </c>
      <c r="FW55">
        <v>0.96</v>
      </c>
      <c r="FX55">
        <v>0.96</v>
      </c>
      <c r="FY55">
        <v>1.024</v>
      </c>
      <c r="GA55" t="s">
        <v>152</v>
      </c>
      <c r="GB55" s="18">
        <v>41578</v>
      </c>
      <c r="GC55" s="19">
        <v>0.33611111111111114</v>
      </c>
      <c r="GD55">
        <v>1.79</v>
      </c>
      <c r="GE55">
        <v>1.79</v>
      </c>
      <c r="GF55">
        <v>1.7649999999999999</v>
      </c>
    </row>
    <row r="56" spans="1:188" x14ac:dyDescent="0.3">
      <c r="A56" t="s">
        <v>152</v>
      </c>
      <c r="B56">
        <v>41478</v>
      </c>
      <c r="C56" s="19">
        <v>0.6875</v>
      </c>
      <c r="D56">
        <v>0.26679999999999998</v>
      </c>
      <c r="E56">
        <v>0.26679999999999998</v>
      </c>
      <c r="F56">
        <v>0.26200000000000001</v>
      </c>
      <c r="H56" t="s">
        <v>156</v>
      </c>
      <c r="I56" s="18">
        <v>41480</v>
      </c>
      <c r="J56" s="19">
        <v>0.66736111111111107</v>
      </c>
      <c r="K56">
        <v>-1E-3</v>
      </c>
      <c r="L56">
        <v>-1E-3</v>
      </c>
      <c r="M56">
        <v>3.0000000000000001E-3</v>
      </c>
      <c r="O56" t="s">
        <v>156</v>
      </c>
      <c r="P56" s="18">
        <v>41473</v>
      </c>
      <c r="Q56" t="s">
        <v>164</v>
      </c>
      <c r="R56">
        <v>0.20499999999999999</v>
      </c>
      <c r="S56">
        <v>0.1888</v>
      </c>
      <c r="T56">
        <v>0.22600000000000001</v>
      </c>
      <c r="V56" t="s">
        <v>156</v>
      </c>
      <c r="W56" s="18">
        <v>41479</v>
      </c>
      <c r="X56" s="19">
        <v>0.67013888888888884</v>
      </c>
      <c r="Y56">
        <v>0.13</v>
      </c>
      <c r="Z56">
        <v>0.13</v>
      </c>
      <c r="AA56">
        <v>8.7999999999999995E-2</v>
      </c>
      <c r="AC56" t="s">
        <v>155</v>
      </c>
      <c r="AD56" s="18">
        <v>41473</v>
      </c>
      <c r="AE56" s="19">
        <v>0.66736111111111107</v>
      </c>
      <c r="AF56">
        <v>0.58760000000000001</v>
      </c>
      <c r="AG56">
        <v>0.65810000000000002</v>
      </c>
      <c r="AH56">
        <v>0.747</v>
      </c>
      <c r="AJ56" t="s">
        <v>152</v>
      </c>
      <c r="AK56" s="18">
        <v>41568</v>
      </c>
      <c r="AL56" s="19">
        <v>0.67013888888888884</v>
      </c>
      <c r="AM56">
        <v>7.4000000000000003E-3</v>
      </c>
      <c r="AN56">
        <v>7.4000000000000003E-3</v>
      </c>
      <c r="AO56">
        <v>7.0000000000000001E-3</v>
      </c>
      <c r="AQ56" t="s">
        <v>150</v>
      </c>
      <c r="AR56" s="18">
        <v>41494</v>
      </c>
      <c r="AS56" s="19">
        <v>0.68055555555555558</v>
      </c>
      <c r="AT56">
        <v>4.1999999999999997E-3</v>
      </c>
      <c r="AU56">
        <v>5.7999999999999996E-3</v>
      </c>
      <c r="AV56">
        <v>5.0000000000000001E-3</v>
      </c>
      <c r="BE56" t="s">
        <v>156</v>
      </c>
      <c r="BF56" s="18">
        <v>41493</v>
      </c>
      <c r="BG56" s="19">
        <v>0.67083333333333328</v>
      </c>
      <c r="BH56">
        <v>-8.0999999999999996E-3</v>
      </c>
      <c r="BI56">
        <v>-2.4245362661989844E-14</v>
      </c>
      <c r="BJ56">
        <v>-1.2999999999999999E-2</v>
      </c>
      <c r="BL56" t="s">
        <v>156</v>
      </c>
      <c r="BM56" s="18">
        <v>41473</v>
      </c>
      <c r="BN56" s="19">
        <v>0.67708333333333337</v>
      </c>
      <c r="BO56">
        <v>9.9159000000000006</v>
      </c>
      <c r="BP56">
        <v>10</v>
      </c>
      <c r="BQ56">
        <v>9.5519999999999996</v>
      </c>
      <c r="BS56" t="s">
        <v>152</v>
      </c>
      <c r="BT56" s="18">
        <v>41513</v>
      </c>
      <c r="BU56" s="19">
        <v>0.67013888888888884</v>
      </c>
      <c r="BV56">
        <v>6.0400000000000002E-2</v>
      </c>
      <c r="BW56">
        <v>7.3999999999999996E-2</v>
      </c>
      <c r="BX56">
        <v>6.6000000000000003E-2</v>
      </c>
      <c r="BZ56" t="s">
        <v>156</v>
      </c>
      <c r="CA56" s="18">
        <v>41473</v>
      </c>
      <c r="CB56" s="19">
        <v>0.67708333333333337</v>
      </c>
      <c r="CC56">
        <v>-9.5699999999999993E-2</v>
      </c>
      <c r="CD56">
        <v>-0.09</v>
      </c>
      <c r="CE56">
        <v>-0.124</v>
      </c>
      <c r="CG56" t="s">
        <v>152</v>
      </c>
      <c r="CH56" s="18">
        <v>41444</v>
      </c>
      <c r="CI56" s="19">
        <v>0.6694444444444444</v>
      </c>
      <c r="CJ56">
        <v>0.10580000000000001</v>
      </c>
      <c r="CK56">
        <v>0.04</v>
      </c>
      <c r="CL56">
        <v>3.5999999999999997E-2</v>
      </c>
      <c r="CN56" t="s">
        <v>156</v>
      </c>
      <c r="CO56" s="18">
        <v>41484</v>
      </c>
      <c r="CP56" s="19">
        <v>0.83680555555555558</v>
      </c>
      <c r="CQ56">
        <v>-1.4E-2</v>
      </c>
      <c r="CR56">
        <v>-1.4E-2</v>
      </c>
      <c r="CS56">
        <v>3.6999999999999998E-2</v>
      </c>
      <c r="DP56" t="s">
        <v>155</v>
      </c>
      <c r="DQ56" s="18">
        <v>41492</v>
      </c>
      <c r="DR56" s="19">
        <v>0.67013888888888884</v>
      </c>
      <c r="DS56">
        <v>1.9E-2</v>
      </c>
      <c r="DT56">
        <v>2.5999999999999999E-2</v>
      </c>
      <c r="DU56">
        <v>2.1000000000000001E-2</v>
      </c>
      <c r="DW56" t="s">
        <v>151</v>
      </c>
      <c r="DX56" s="18">
        <v>41535</v>
      </c>
      <c r="DY56" s="19">
        <v>0.66736111111111107</v>
      </c>
      <c r="DZ56">
        <v>0.48120000000000002</v>
      </c>
      <c r="EA56">
        <v>0.59</v>
      </c>
      <c r="EB56">
        <v>0.56100000000000005</v>
      </c>
      <c r="ED56" t="s">
        <v>150</v>
      </c>
      <c r="EE56" s="18">
        <v>41515</v>
      </c>
      <c r="EF56" s="19">
        <v>0.67013888888888884</v>
      </c>
      <c r="EG56">
        <v>0.11890000000000001</v>
      </c>
      <c r="EH56">
        <v>0.09</v>
      </c>
      <c r="EI56">
        <v>6.9000000000000006E-2</v>
      </c>
      <c r="EK56" t="s">
        <v>152</v>
      </c>
      <c r="EL56" s="18">
        <v>41534</v>
      </c>
      <c r="EM56" s="19">
        <v>0.67013888888888884</v>
      </c>
      <c r="EN56">
        <v>0.16159999999999999</v>
      </c>
      <c r="EO56">
        <v>0.32</v>
      </c>
      <c r="EP56">
        <v>0.34899999999999998</v>
      </c>
      <c r="ER56" t="s">
        <v>156</v>
      </c>
      <c r="ES56" s="18">
        <v>41486</v>
      </c>
      <c r="ET56" s="19">
        <v>0.66736111111111107</v>
      </c>
      <c r="EU56">
        <v>-3.1399999999999997E-2</v>
      </c>
      <c r="EV56">
        <v>-1.2E-2</v>
      </c>
      <c r="EW56">
        <v>-0.01</v>
      </c>
      <c r="EY56" t="s">
        <v>156</v>
      </c>
      <c r="EZ56" s="18">
        <v>41479</v>
      </c>
      <c r="FA56" s="19">
        <v>0.27083333333333331</v>
      </c>
      <c r="FB56">
        <v>1.1363000000000001</v>
      </c>
      <c r="FC56">
        <v>1.1599999999999999</v>
      </c>
      <c r="FD56">
        <v>1.0129999999999999</v>
      </c>
      <c r="FF56" t="s">
        <v>152</v>
      </c>
      <c r="FG56" s="18">
        <v>41564</v>
      </c>
      <c r="FH56" s="19">
        <v>0.25</v>
      </c>
      <c r="FI56">
        <v>1.5497000000000001</v>
      </c>
      <c r="FJ56">
        <v>1.53</v>
      </c>
      <c r="FK56">
        <v>1.526</v>
      </c>
      <c r="FM56" t="s">
        <v>154</v>
      </c>
      <c r="FN56" s="18">
        <v>42018</v>
      </c>
      <c r="FO56" s="19">
        <v>0.29097222222222224</v>
      </c>
      <c r="FP56">
        <v>1.4612000000000001</v>
      </c>
      <c r="FQ56">
        <v>1.33</v>
      </c>
      <c r="FR56">
        <v>1.3160000000000001</v>
      </c>
      <c r="FT56" t="s">
        <v>155</v>
      </c>
      <c r="FU56" s="18">
        <v>41556</v>
      </c>
      <c r="FV56" s="19">
        <v>0.12569444444444444</v>
      </c>
      <c r="FW56">
        <v>1.4</v>
      </c>
      <c r="FX56">
        <v>1.4</v>
      </c>
      <c r="FY56">
        <v>1.462</v>
      </c>
      <c r="GA56" t="s">
        <v>156</v>
      </c>
      <c r="GB56" s="18">
        <v>41487</v>
      </c>
      <c r="GC56" s="19">
        <v>0.33611111111111114</v>
      </c>
      <c r="GD56">
        <v>1.55</v>
      </c>
      <c r="GE56">
        <v>1.55</v>
      </c>
      <c r="GF56">
        <v>1.891</v>
      </c>
    </row>
    <row r="57" spans="1:188" x14ac:dyDescent="0.3">
      <c r="A57" t="s">
        <v>156</v>
      </c>
      <c r="B57">
        <v>41387</v>
      </c>
      <c r="C57" s="19">
        <v>0.6875</v>
      </c>
      <c r="D57">
        <v>0.3604</v>
      </c>
      <c r="E57">
        <v>0.3604</v>
      </c>
      <c r="F57">
        <v>0.35699999999999998</v>
      </c>
      <c r="H57" t="s">
        <v>157</v>
      </c>
      <c r="I57" s="18">
        <v>41389</v>
      </c>
      <c r="J57" s="19">
        <v>0.66666666666666663</v>
      </c>
      <c r="K57">
        <v>8.9999999999999993E-3</v>
      </c>
      <c r="L57">
        <v>8.9999999999999993E-3</v>
      </c>
      <c r="M57">
        <v>5.0000000000000001E-3</v>
      </c>
      <c r="O57" t="s">
        <v>157</v>
      </c>
      <c r="P57" s="18">
        <v>41382</v>
      </c>
      <c r="Q57" t="s">
        <v>164</v>
      </c>
      <c r="R57">
        <v>0.26200000000000001</v>
      </c>
      <c r="S57">
        <v>0.24679999999999999</v>
      </c>
      <c r="T57">
        <v>0.22</v>
      </c>
      <c r="V57" t="s">
        <v>157</v>
      </c>
      <c r="W57" s="18">
        <v>41395</v>
      </c>
      <c r="X57" s="19">
        <v>0.67013888888888884</v>
      </c>
      <c r="Y57">
        <v>0.09</v>
      </c>
      <c r="Z57">
        <v>0.09</v>
      </c>
      <c r="AA57">
        <v>7.6999999999999999E-2</v>
      </c>
      <c r="AC57" t="s">
        <v>152</v>
      </c>
      <c r="AD57" s="18">
        <v>41382</v>
      </c>
      <c r="AE57" s="19">
        <v>0.66736111111111107</v>
      </c>
      <c r="AF57">
        <v>0.77210000000000001</v>
      </c>
      <c r="AG57">
        <v>0.72</v>
      </c>
      <c r="AH57">
        <v>0.67800000000000005</v>
      </c>
      <c r="AJ57" t="s">
        <v>156</v>
      </c>
      <c r="AK57" s="18">
        <v>41477</v>
      </c>
      <c r="AL57" s="19">
        <v>0.67013888888888884</v>
      </c>
      <c r="AM57">
        <v>7.0000000000000001E-3</v>
      </c>
      <c r="AN57">
        <v>7.0000000000000001E-3</v>
      </c>
      <c r="AO57">
        <v>6.0000000000000001E-3</v>
      </c>
      <c r="AQ57" t="s">
        <v>151</v>
      </c>
      <c r="AR57" s="18">
        <v>41403</v>
      </c>
      <c r="AS57" s="19">
        <v>0.68055555555555558</v>
      </c>
      <c r="AT57">
        <v>3.3E-3</v>
      </c>
      <c r="AU57">
        <v>4.4999999999999997E-3</v>
      </c>
      <c r="AV57">
        <v>4.0000000000000001E-3</v>
      </c>
      <c r="BE57" t="s">
        <v>157</v>
      </c>
      <c r="BF57" s="18">
        <v>41402</v>
      </c>
      <c r="BG57" t="s">
        <v>164</v>
      </c>
      <c r="BH57">
        <v>0</v>
      </c>
      <c r="BI57">
        <v>-2.4245362661989844E-14</v>
      </c>
      <c r="BJ57">
        <v>2E-3</v>
      </c>
      <c r="BL57" t="s">
        <v>157</v>
      </c>
      <c r="BM57" s="18">
        <v>41382</v>
      </c>
      <c r="BN57" s="19">
        <v>0.78819444444444442</v>
      </c>
      <c r="BO57">
        <v>7.4539999999999997</v>
      </c>
      <c r="BP57">
        <v>7.65</v>
      </c>
      <c r="BQ57">
        <v>7.2679999999999998</v>
      </c>
      <c r="BS57" t="s">
        <v>156</v>
      </c>
      <c r="BT57" s="18">
        <v>41423</v>
      </c>
      <c r="BU57" s="19">
        <v>0.67013888888888884</v>
      </c>
      <c r="BV57">
        <v>4.6199999999999998E-2</v>
      </c>
      <c r="BW57">
        <v>6.0999999999999999E-2</v>
      </c>
      <c r="BX57">
        <v>5.8000000000000003E-2</v>
      </c>
      <c r="BZ57" t="s">
        <v>157</v>
      </c>
      <c r="CA57" s="18">
        <v>41382</v>
      </c>
      <c r="CB57" s="19">
        <v>0.67708333333333337</v>
      </c>
      <c r="CC57">
        <v>-0.15409999999999999</v>
      </c>
      <c r="CD57">
        <v>-2.4245362661989844E-14</v>
      </c>
      <c r="CE57">
        <v>-0.17399999999999999</v>
      </c>
      <c r="CG57" t="s">
        <v>156</v>
      </c>
      <c r="CH57" s="18">
        <v>41354</v>
      </c>
      <c r="CI57" s="19">
        <v>0.67013888888888884</v>
      </c>
      <c r="CJ57">
        <v>-0.22969999999999999</v>
      </c>
      <c r="CK57">
        <v>-0.28000000000000003</v>
      </c>
      <c r="CL57">
        <v>-0.21</v>
      </c>
      <c r="CN57" t="s">
        <v>157</v>
      </c>
      <c r="CO57" s="18">
        <v>41393</v>
      </c>
      <c r="CP57" s="19">
        <v>0.86458333333333337</v>
      </c>
      <c r="CQ57">
        <v>-4.5999999999999999E-2</v>
      </c>
      <c r="CR57">
        <v>-4.5999999999999999E-2</v>
      </c>
      <c r="CS57">
        <v>0.03</v>
      </c>
      <c r="DP57" t="s">
        <v>152</v>
      </c>
      <c r="DQ57" s="18">
        <v>41387</v>
      </c>
      <c r="DR57" s="19">
        <v>0.67013888888888884</v>
      </c>
      <c r="DS57">
        <v>1.6E-2</v>
      </c>
      <c r="DT57">
        <v>2.4E-2</v>
      </c>
      <c r="DU57">
        <v>0.02</v>
      </c>
      <c r="DW57" t="s">
        <v>155</v>
      </c>
      <c r="DX57" s="18">
        <v>41445</v>
      </c>
      <c r="DY57" s="19">
        <v>0.66736111111111107</v>
      </c>
      <c r="DZ57">
        <v>0.77490000000000003</v>
      </c>
      <c r="EA57">
        <v>0.87</v>
      </c>
      <c r="EB57">
        <v>0.874</v>
      </c>
      <c r="ED57" t="s">
        <v>151</v>
      </c>
      <c r="EE57" s="18">
        <v>41417</v>
      </c>
      <c r="EF57" s="19">
        <v>0.67013888888888884</v>
      </c>
      <c r="EG57">
        <v>-0.12</v>
      </c>
      <c r="EH57">
        <v>0.1</v>
      </c>
      <c r="EI57">
        <v>0.105</v>
      </c>
      <c r="EK57" t="s">
        <v>156</v>
      </c>
      <c r="EL57" s="18">
        <v>41443</v>
      </c>
      <c r="EM57" s="19">
        <v>0.67013888888888884</v>
      </c>
      <c r="EN57">
        <v>0.1933</v>
      </c>
      <c r="EO57">
        <v>0.36</v>
      </c>
      <c r="EP57">
        <v>0.34699999999999998</v>
      </c>
      <c r="ER57" t="s">
        <v>157</v>
      </c>
      <c r="ES57" s="18">
        <v>41388</v>
      </c>
      <c r="ET57" s="19">
        <v>0.66805555555555551</v>
      </c>
      <c r="EU57">
        <v>-0.02</v>
      </c>
      <c r="EV57">
        <v>-2E-3</v>
      </c>
      <c r="EW57">
        <v>-7.0000000000000001E-3</v>
      </c>
      <c r="EY57" t="s">
        <v>157</v>
      </c>
      <c r="EZ57" s="18">
        <v>41388</v>
      </c>
      <c r="FA57" s="19">
        <v>0.27083333333333331</v>
      </c>
      <c r="FB57">
        <v>1.1355</v>
      </c>
      <c r="FC57">
        <v>1.1399999999999999</v>
      </c>
      <c r="FD57">
        <v>1.048</v>
      </c>
      <c r="FF57" t="s">
        <v>156</v>
      </c>
      <c r="FG57" s="18">
        <v>41473</v>
      </c>
      <c r="FH57" s="19">
        <v>0.25</v>
      </c>
      <c r="FI57">
        <v>1.369</v>
      </c>
      <c r="FJ57">
        <v>1.4</v>
      </c>
      <c r="FK57">
        <v>1.25</v>
      </c>
      <c r="FM57" t="s">
        <v>149</v>
      </c>
      <c r="FN57" s="18">
        <v>41926</v>
      </c>
      <c r="FO57" s="19">
        <v>0.28125</v>
      </c>
      <c r="FP57">
        <v>1.4746999999999999</v>
      </c>
      <c r="FQ57">
        <v>1.62</v>
      </c>
      <c r="FR57">
        <v>1.3859999999999999</v>
      </c>
      <c r="FT57" t="s">
        <v>152</v>
      </c>
      <c r="FU57" s="18">
        <v>41424</v>
      </c>
      <c r="FV57" s="19">
        <v>0.12569444444444444</v>
      </c>
      <c r="FW57">
        <v>1.04</v>
      </c>
      <c r="FX57">
        <v>1.04</v>
      </c>
      <c r="FY57">
        <v>1.0269999999999999</v>
      </c>
      <c r="GA57" t="s">
        <v>157</v>
      </c>
      <c r="GB57" s="18">
        <v>41389</v>
      </c>
      <c r="GC57" s="19">
        <v>0.3347222222222222</v>
      </c>
      <c r="GD57">
        <v>2.12</v>
      </c>
      <c r="GE57">
        <v>2.12</v>
      </c>
      <c r="GF57">
        <v>2.0449999999999999</v>
      </c>
    </row>
    <row r="58" spans="1:188" x14ac:dyDescent="0.3">
      <c r="A58" t="s">
        <v>157</v>
      </c>
      <c r="B58">
        <v>41297</v>
      </c>
      <c r="C58" s="19">
        <v>0.6875</v>
      </c>
      <c r="D58">
        <v>0.49320000000000003</v>
      </c>
      <c r="E58">
        <v>0.49320000000000003</v>
      </c>
      <c r="F58">
        <v>0.48399999999999999</v>
      </c>
      <c r="H58" t="s">
        <v>158</v>
      </c>
      <c r="I58" s="18">
        <v>41303</v>
      </c>
      <c r="J58" s="19">
        <v>0.66666666666666663</v>
      </c>
      <c r="K58">
        <v>1.0500000000000001E-2</v>
      </c>
      <c r="L58">
        <v>1.0500000000000001E-2</v>
      </c>
      <c r="M58">
        <v>1.4E-2</v>
      </c>
      <c r="O58" t="s">
        <v>158</v>
      </c>
      <c r="P58" s="18">
        <v>41296</v>
      </c>
      <c r="Q58" t="s">
        <v>164</v>
      </c>
      <c r="R58">
        <v>0.217</v>
      </c>
      <c r="S58">
        <v>0.2155</v>
      </c>
      <c r="T58">
        <v>0.21099999999999999</v>
      </c>
      <c r="V58" t="s">
        <v>158</v>
      </c>
      <c r="W58" s="18">
        <v>41304</v>
      </c>
      <c r="X58" s="19">
        <v>0.67222222222222228</v>
      </c>
      <c r="Y58">
        <v>0.03</v>
      </c>
      <c r="Z58">
        <v>0.03</v>
      </c>
      <c r="AA58">
        <v>2.4E-2</v>
      </c>
      <c r="AC58" t="s">
        <v>156</v>
      </c>
      <c r="AD58" s="18">
        <v>41298</v>
      </c>
      <c r="AE58" s="19">
        <v>0.66805555555555551</v>
      </c>
      <c r="AF58">
        <v>0.75649999999999995</v>
      </c>
      <c r="AG58">
        <v>0.76</v>
      </c>
      <c r="AH58">
        <v>0.74399999999999999</v>
      </c>
      <c r="AJ58" t="s">
        <v>157</v>
      </c>
      <c r="AK58" s="18">
        <v>41386</v>
      </c>
      <c r="AL58" s="19">
        <v>0.67013888888888884</v>
      </c>
      <c r="AM58">
        <v>6.9999999999999999E-4</v>
      </c>
      <c r="AN58">
        <v>4.4000000000000003E-3</v>
      </c>
      <c r="AO58">
        <v>3.0000000000000001E-3</v>
      </c>
      <c r="AQ58" t="s">
        <v>155</v>
      </c>
      <c r="AR58" s="18">
        <v>41318</v>
      </c>
      <c r="AS58" s="19">
        <v>0.68055555555555558</v>
      </c>
      <c r="AT58">
        <v>7.1999999999999998E-3</v>
      </c>
      <c r="AU58">
        <v>8.8000000000000005E-3</v>
      </c>
      <c r="AV58">
        <v>8.0000000000000002E-3</v>
      </c>
      <c r="BE58" t="s">
        <v>158</v>
      </c>
      <c r="BF58" s="18">
        <v>41325</v>
      </c>
      <c r="BG58" s="19">
        <v>0.66874999999999996</v>
      </c>
      <c r="BH58">
        <v>-5.2699999999999997E-2</v>
      </c>
      <c r="BI58">
        <v>-2.4245362661989844E-14</v>
      </c>
      <c r="BJ58">
        <v>-3.9E-2</v>
      </c>
      <c r="BL58" t="s">
        <v>264</v>
      </c>
      <c r="BM58" s="18">
        <v>41291</v>
      </c>
      <c r="BN58" s="19">
        <v>0.56944444444444442</v>
      </c>
      <c r="BO58">
        <v>32.631</v>
      </c>
      <c r="BP58">
        <v>32.1</v>
      </c>
      <c r="BQ58">
        <v>31.949000000000002</v>
      </c>
      <c r="BS58" t="s">
        <v>157</v>
      </c>
      <c r="BT58" s="18">
        <v>41331</v>
      </c>
      <c r="BU58" s="19">
        <v>0.67013888888888884</v>
      </c>
      <c r="BV58">
        <v>5.4800000000000001E-2</v>
      </c>
      <c r="BW58">
        <v>6.5000000000000002E-2</v>
      </c>
      <c r="BX58">
        <v>0.06</v>
      </c>
      <c r="BZ58" t="s">
        <v>158</v>
      </c>
      <c r="CA58" s="18">
        <v>41296</v>
      </c>
      <c r="CB58" s="19">
        <v>0.67708333333333337</v>
      </c>
      <c r="CC58">
        <v>-0.5514</v>
      </c>
      <c r="CD58">
        <v>-2.4245362661989844E-14</v>
      </c>
      <c r="CE58">
        <v>-0.18</v>
      </c>
      <c r="CG58" t="s">
        <v>157</v>
      </c>
      <c r="CH58" s="18">
        <v>41263</v>
      </c>
      <c r="CI58" s="19">
        <v>0.67152777777777772</v>
      </c>
      <c r="CJ58">
        <v>-0.27029999999999998</v>
      </c>
      <c r="CK58">
        <v>-0.28999999999999998</v>
      </c>
      <c r="CL58">
        <v>-0.20899999999999999</v>
      </c>
      <c r="CN58" t="s">
        <v>158</v>
      </c>
      <c r="CO58" s="18">
        <v>41302</v>
      </c>
      <c r="CP58" s="19">
        <v>0.83680555555555558</v>
      </c>
      <c r="CQ58">
        <v>7.3999999999999996E-2</v>
      </c>
      <c r="CR58">
        <v>7.2999999999999995E-2</v>
      </c>
      <c r="CS58">
        <v>9.8000000000000004E-2</v>
      </c>
      <c r="DP58" t="s">
        <v>156</v>
      </c>
      <c r="DQ58" s="18">
        <v>41296</v>
      </c>
      <c r="DR58" s="19">
        <v>0.67013888888888884</v>
      </c>
      <c r="DS58">
        <v>1.0999999999999999E-2</v>
      </c>
      <c r="DT58">
        <v>1.7999999999999999E-2</v>
      </c>
      <c r="DU58">
        <v>1.4E-2</v>
      </c>
      <c r="DW58" t="s">
        <v>152</v>
      </c>
      <c r="DX58" s="18">
        <v>41353</v>
      </c>
      <c r="DY58" s="19">
        <v>0.66736111111111107</v>
      </c>
      <c r="DZ58">
        <v>0.53100000000000003</v>
      </c>
      <c r="EA58">
        <v>0.65</v>
      </c>
      <c r="EB58">
        <v>0.66200000000000003</v>
      </c>
      <c r="ED58" t="s">
        <v>155</v>
      </c>
      <c r="EE58" s="18">
        <v>41333</v>
      </c>
      <c r="EF58" s="19">
        <v>0.67013888888888884</v>
      </c>
      <c r="EG58">
        <v>-3.5799999999999998E-2</v>
      </c>
      <c r="EH58">
        <v>0.1275</v>
      </c>
      <c r="EI58">
        <v>9.9000000000000005E-2</v>
      </c>
      <c r="EK58" t="s">
        <v>157</v>
      </c>
      <c r="EL58" s="18">
        <v>41352</v>
      </c>
      <c r="EM58" s="19">
        <v>0.66805555555555551</v>
      </c>
      <c r="EN58">
        <v>0.12870000000000001</v>
      </c>
      <c r="EO58">
        <v>0.35</v>
      </c>
      <c r="EP58">
        <v>0.32500000000000001</v>
      </c>
      <c r="ER58" t="s">
        <v>158</v>
      </c>
      <c r="ES58" s="18">
        <v>41304</v>
      </c>
      <c r="ET58" s="19">
        <v>0.67083333333333328</v>
      </c>
      <c r="EU58">
        <v>-1.6E-2</v>
      </c>
      <c r="EV58">
        <v>0</v>
      </c>
      <c r="EW58">
        <v>-8.9999999999999993E-3</v>
      </c>
      <c r="EY58" t="s">
        <v>158</v>
      </c>
      <c r="EZ58" s="18">
        <v>41303</v>
      </c>
      <c r="FA58" s="19">
        <v>0.27083333333333331</v>
      </c>
      <c r="FB58">
        <v>0.84489999999999998</v>
      </c>
      <c r="FC58">
        <v>0.85</v>
      </c>
      <c r="FD58">
        <v>0.78700000000000003</v>
      </c>
      <c r="FF58" t="s">
        <v>157</v>
      </c>
      <c r="FG58" s="18">
        <v>41382</v>
      </c>
      <c r="FH58" s="19">
        <v>0.25</v>
      </c>
      <c r="FI58">
        <v>1.1240000000000001</v>
      </c>
      <c r="FJ58">
        <v>1.1599999999999999</v>
      </c>
      <c r="FK58">
        <v>1.1399999999999999</v>
      </c>
      <c r="FM58" t="s">
        <v>150</v>
      </c>
      <c r="FN58" s="18">
        <v>41835</v>
      </c>
      <c r="FO58" s="19">
        <v>0.29097222222222224</v>
      </c>
      <c r="FP58">
        <v>1.5617000000000001</v>
      </c>
      <c r="FQ58">
        <v>1.59</v>
      </c>
      <c r="FR58">
        <v>1.306</v>
      </c>
      <c r="FT58" t="s">
        <v>156</v>
      </c>
      <c r="FU58" s="18">
        <v>41345</v>
      </c>
      <c r="FV58" s="19">
        <v>0.12569444444444444</v>
      </c>
      <c r="FW58">
        <v>1.099</v>
      </c>
      <c r="FX58">
        <v>1.1036999999999999</v>
      </c>
      <c r="FY58">
        <v>1.0569999999999999</v>
      </c>
      <c r="GA58" t="s">
        <v>158</v>
      </c>
      <c r="GB58" s="18">
        <v>41306</v>
      </c>
      <c r="GC58" t="s">
        <v>144</v>
      </c>
      <c r="GD58">
        <v>2.0672999999999999</v>
      </c>
      <c r="GE58">
        <v>1.9930000000000001</v>
      </c>
      <c r="GF58">
        <v>1.998</v>
      </c>
    </row>
    <row r="59" spans="1:188" x14ac:dyDescent="0.3">
      <c r="A59" t="s">
        <v>158</v>
      </c>
      <c r="B59">
        <v>41207</v>
      </c>
      <c r="C59" s="19">
        <v>0.6875</v>
      </c>
      <c r="D59">
        <v>0.30959999999999999</v>
      </c>
      <c r="E59">
        <v>0.30959999999999999</v>
      </c>
      <c r="F59">
        <v>0.315</v>
      </c>
      <c r="H59" t="s">
        <v>159</v>
      </c>
      <c r="I59" s="18">
        <v>41207</v>
      </c>
      <c r="J59" s="19">
        <v>0.66666666666666663</v>
      </c>
      <c r="K59">
        <v>-0.03</v>
      </c>
      <c r="L59">
        <v>-0.03</v>
      </c>
      <c r="M59">
        <v>-4.0000000000000001E-3</v>
      </c>
      <c r="O59" t="s">
        <v>159</v>
      </c>
      <c r="P59" s="18">
        <v>41200</v>
      </c>
      <c r="Q59" t="s">
        <v>164</v>
      </c>
      <c r="R59">
        <v>0.16200000000000001</v>
      </c>
      <c r="S59">
        <v>0.1633</v>
      </c>
      <c r="T59">
        <v>0.219</v>
      </c>
      <c r="V59" t="s">
        <v>159</v>
      </c>
      <c r="W59" s="18">
        <v>41205</v>
      </c>
      <c r="X59" s="19">
        <v>0.67013888888888884</v>
      </c>
      <c r="Y59">
        <v>-0.02</v>
      </c>
      <c r="Z59">
        <v>-0.02</v>
      </c>
      <c r="AA59">
        <v>5.2999999999999999E-2</v>
      </c>
      <c r="AC59" t="s">
        <v>157</v>
      </c>
      <c r="AD59" s="18">
        <v>41200</v>
      </c>
      <c r="AE59" s="19">
        <v>0.66805555555555551</v>
      </c>
      <c r="AF59">
        <v>0.53110000000000002</v>
      </c>
      <c r="AG59">
        <v>0.53</v>
      </c>
      <c r="AH59">
        <v>0.56100000000000005</v>
      </c>
      <c r="AJ59" t="s">
        <v>158</v>
      </c>
      <c r="AK59" s="18">
        <v>41297</v>
      </c>
      <c r="AL59" s="19">
        <v>0.6694444444444444</v>
      </c>
      <c r="AM59">
        <v>1.9E-3</v>
      </c>
      <c r="AN59">
        <v>1.9E-3</v>
      </c>
      <c r="AO59">
        <v>-2E-3</v>
      </c>
      <c r="AQ59" t="s">
        <v>152</v>
      </c>
      <c r="AR59" s="18">
        <v>41221</v>
      </c>
      <c r="AS59" s="19">
        <v>0.68055555555555558</v>
      </c>
      <c r="AT59">
        <v>8.3999999999999995E-3</v>
      </c>
      <c r="AU59">
        <v>9.7999999999999997E-3</v>
      </c>
      <c r="AV59">
        <v>8.9999999999999993E-3</v>
      </c>
      <c r="BE59" t="s">
        <v>159</v>
      </c>
      <c r="BF59" s="18">
        <v>41218</v>
      </c>
      <c r="BG59" s="19">
        <v>0.27083333333333331</v>
      </c>
      <c r="BH59">
        <v>-7.0000000000000007E-2</v>
      </c>
      <c r="BI59">
        <v>-6.13E-2</v>
      </c>
      <c r="BJ59">
        <v>-6.0999999999999999E-2</v>
      </c>
      <c r="BL59" t="s">
        <v>159</v>
      </c>
      <c r="BM59" s="18">
        <v>41207</v>
      </c>
      <c r="BN59" s="19">
        <v>0.67847222222222225</v>
      </c>
      <c r="BO59">
        <v>9.4734999999999996</v>
      </c>
      <c r="BP59">
        <v>9.5122999999999998</v>
      </c>
      <c r="BQ59">
        <v>8.8480000000000008</v>
      </c>
      <c r="BS59" t="s">
        <v>158</v>
      </c>
      <c r="BT59" s="18">
        <v>41242</v>
      </c>
      <c r="BU59" s="19">
        <v>0.67013888888888884</v>
      </c>
      <c r="BV59">
        <v>6.4799999999999996E-2</v>
      </c>
      <c r="BW59">
        <v>7.6999999999999999E-2</v>
      </c>
      <c r="BX59">
        <v>7.2999999999999995E-2</v>
      </c>
      <c r="BZ59" t="s">
        <v>159</v>
      </c>
      <c r="CA59" s="18">
        <v>41200</v>
      </c>
      <c r="CB59" s="19">
        <v>0.67708333333333337</v>
      </c>
      <c r="CC59">
        <v>-0.20810000000000001</v>
      </c>
      <c r="CD59">
        <v>-0.2</v>
      </c>
      <c r="CE59">
        <v>-0.14899999999999999</v>
      </c>
      <c r="CG59" t="s">
        <v>158</v>
      </c>
      <c r="CH59" s="18">
        <v>41179</v>
      </c>
      <c r="CI59" s="19">
        <v>0.67013888888888884</v>
      </c>
      <c r="CJ59">
        <v>-0.24260000000000001</v>
      </c>
      <c r="CK59">
        <v>-0.24</v>
      </c>
      <c r="CL59">
        <v>-0.24399999999999999</v>
      </c>
      <c r="CN59" t="s">
        <v>159</v>
      </c>
      <c r="CO59" s="18">
        <v>41211</v>
      </c>
      <c r="CP59" s="19">
        <v>0.72013888888888888</v>
      </c>
      <c r="CQ59">
        <v>4.5999999999999999E-2</v>
      </c>
      <c r="CR59">
        <v>4.2999999999999997E-2</v>
      </c>
      <c r="CS59">
        <v>8.8999999999999996E-2</v>
      </c>
      <c r="DP59" t="s">
        <v>157</v>
      </c>
      <c r="DQ59" s="18">
        <v>41205</v>
      </c>
      <c r="DR59" s="19">
        <v>0.67013888888888884</v>
      </c>
      <c r="DS59">
        <v>2E-3</v>
      </c>
      <c r="DT59">
        <v>7.0000000000000001E-3</v>
      </c>
      <c r="DU59">
        <v>1.0999999999999999E-2</v>
      </c>
      <c r="DW59" t="s">
        <v>156</v>
      </c>
      <c r="DX59" s="18">
        <v>41261</v>
      </c>
      <c r="DY59" s="19">
        <v>0.66736111111111107</v>
      </c>
      <c r="DZ59">
        <v>0.53139999999999998</v>
      </c>
      <c r="EA59">
        <v>0.64</v>
      </c>
      <c r="EB59">
        <v>0.60899999999999999</v>
      </c>
      <c r="ED59" t="s">
        <v>152</v>
      </c>
      <c r="EE59" s="18">
        <v>41233</v>
      </c>
      <c r="EF59" s="19">
        <v>0.67013888888888884</v>
      </c>
      <c r="EG59">
        <v>-7.9500000000000001E-2</v>
      </c>
      <c r="EH59">
        <v>8.2500000000000004E-2</v>
      </c>
      <c r="EI59">
        <v>0.08</v>
      </c>
      <c r="EK59" t="s">
        <v>158</v>
      </c>
      <c r="EL59" s="18">
        <v>41256</v>
      </c>
      <c r="EM59" s="19">
        <v>0.66874999999999996</v>
      </c>
      <c r="EN59">
        <v>0.439</v>
      </c>
      <c r="EO59">
        <v>0.61</v>
      </c>
      <c r="EP59">
        <v>0.56299999999999994</v>
      </c>
      <c r="ER59" t="s">
        <v>159</v>
      </c>
      <c r="ES59" s="18">
        <v>41206</v>
      </c>
      <c r="ET59" s="19">
        <v>0.66805555555555551</v>
      </c>
      <c r="EU59">
        <v>-1.9E-2</v>
      </c>
      <c r="EV59">
        <v>-1.2E-2</v>
      </c>
      <c r="EW59">
        <v>-0.02</v>
      </c>
      <c r="EY59" t="s">
        <v>159</v>
      </c>
      <c r="EZ59" s="18">
        <v>41206</v>
      </c>
      <c r="FA59" s="19">
        <v>0.27083333333333331</v>
      </c>
      <c r="FB59">
        <v>1.1872</v>
      </c>
      <c r="FC59">
        <v>0.79</v>
      </c>
      <c r="FD59">
        <v>0.83599999999999997</v>
      </c>
      <c r="FF59" t="s">
        <v>158</v>
      </c>
      <c r="FG59" s="18">
        <v>41291</v>
      </c>
      <c r="FH59" s="19">
        <v>0.25</v>
      </c>
      <c r="FI59">
        <v>1.1701999999999999</v>
      </c>
      <c r="FJ59">
        <v>1.2</v>
      </c>
      <c r="FK59">
        <v>1.1970000000000001</v>
      </c>
      <c r="FM59" t="s">
        <v>151</v>
      </c>
      <c r="FN59" s="18">
        <v>41740</v>
      </c>
      <c r="FO59" s="19">
        <v>0.29097222222222224</v>
      </c>
      <c r="FP59">
        <v>1.2889999999999999</v>
      </c>
      <c r="FQ59">
        <v>1.28</v>
      </c>
      <c r="FR59">
        <v>1.4419999999999999</v>
      </c>
      <c r="FT59" t="s">
        <v>157</v>
      </c>
      <c r="FU59" s="18">
        <v>41255</v>
      </c>
      <c r="FV59" s="19">
        <v>0.12569444444444444</v>
      </c>
      <c r="FW59">
        <v>0.95</v>
      </c>
      <c r="FX59">
        <v>0.95</v>
      </c>
      <c r="FY59">
        <v>0.93100000000000005</v>
      </c>
      <c r="GA59" t="s">
        <v>159</v>
      </c>
      <c r="GB59" s="18">
        <v>41214</v>
      </c>
      <c r="GC59" s="19">
        <v>0.33611111111111114</v>
      </c>
      <c r="GD59">
        <v>2.09</v>
      </c>
      <c r="GE59">
        <v>2.09</v>
      </c>
      <c r="GF59">
        <v>1.962</v>
      </c>
    </row>
    <row r="60" spans="1:188" x14ac:dyDescent="0.3">
      <c r="A60" t="s">
        <v>159</v>
      </c>
      <c r="B60">
        <v>41114</v>
      </c>
      <c r="C60" s="19">
        <v>0.6875</v>
      </c>
      <c r="D60">
        <v>0.33289999999999997</v>
      </c>
      <c r="E60">
        <v>0.33289999999999997</v>
      </c>
      <c r="F60">
        <v>0.371</v>
      </c>
      <c r="H60" t="s">
        <v>160</v>
      </c>
      <c r="I60" s="18">
        <v>41116</v>
      </c>
      <c r="J60" s="19">
        <v>0.66666666666666663</v>
      </c>
      <c r="K60">
        <v>5.0000000000000001E-4</v>
      </c>
      <c r="L60">
        <v>-2.4245362661989844E-14</v>
      </c>
      <c r="M60">
        <v>1E-3</v>
      </c>
      <c r="O60" t="s">
        <v>160</v>
      </c>
      <c r="P60" s="18">
        <v>41109</v>
      </c>
      <c r="Q60" s="19">
        <v>0.70625000000000004</v>
      </c>
      <c r="R60">
        <v>0.214</v>
      </c>
      <c r="S60">
        <v>0.21049999999999999</v>
      </c>
      <c r="T60">
        <v>0.218</v>
      </c>
      <c r="V60" t="s">
        <v>160</v>
      </c>
      <c r="W60" s="18">
        <v>41116</v>
      </c>
      <c r="X60" s="19">
        <v>0.67013888888888884</v>
      </c>
      <c r="Y60">
        <v>-0.08</v>
      </c>
      <c r="Z60">
        <v>-0.08</v>
      </c>
      <c r="AA60">
        <v>-0.17399999999999999</v>
      </c>
      <c r="AC60" t="s">
        <v>158</v>
      </c>
      <c r="AD60" s="18">
        <v>41109</v>
      </c>
      <c r="AE60" s="19">
        <v>0.6694444444444444</v>
      </c>
      <c r="AF60">
        <v>0.7429</v>
      </c>
      <c r="AG60">
        <v>0.67</v>
      </c>
      <c r="AH60">
        <v>0.62</v>
      </c>
      <c r="AJ60" t="s">
        <v>159</v>
      </c>
      <c r="AK60" s="18">
        <v>41205</v>
      </c>
      <c r="AL60" s="19">
        <v>0.67013888888888884</v>
      </c>
      <c r="AM60">
        <v>1.9E-3</v>
      </c>
      <c r="AN60">
        <v>1.9E-3</v>
      </c>
      <c r="AO60">
        <v>1E-3</v>
      </c>
      <c r="AQ60" t="s">
        <v>156</v>
      </c>
      <c r="AR60" s="18">
        <v>41130</v>
      </c>
      <c r="AS60" s="19">
        <v>0.67986111111111114</v>
      </c>
      <c r="AT60">
        <v>4.8999999999999998E-3</v>
      </c>
      <c r="AU60">
        <v>6.7999999999999996E-3</v>
      </c>
      <c r="AV60">
        <v>6.0000000000000001E-3</v>
      </c>
      <c r="BE60" t="s">
        <v>160</v>
      </c>
      <c r="BF60" s="18">
        <v>41115</v>
      </c>
      <c r="BG60" s="19">
        <v>0.67152777777777772</v>
      </c>
      <c r="BH60">
        <v>-6.6699999999999995E-2</v>
      </c>
      <c r="BI60">
        <v>-2.4245362661989844E-14</v>
      </c>
      <c r="BJ60">
        <v>-6.3E-2</v>
      </c>
      <c r="BL60" t="s">
        <v>160</v>
      </c>
      <c r="BM60" s="18">
        <v>41109</v>
      </c>
      <c r="BN60" s="19">
        <v>0.74444444444444446</v>
      </c>
      <c r="BO60">
        <v>8.3804999999999996</v>
      </c>
      <c r="BP60">
        <v>8.0671999999999997</v>
      </c>
      <c r="BQ60">
        <v>8.1059999999999999</v>
      </c>
      <c r="BS60" t="s">
        <v>159</v>
      </c>
      <c r="BT60" s="18">
        <v>41137</v>
      </c>
      <c r="BU60" s="19">
        <v>0.67013888888888884</v>
      </c>
      <c r="BV60">
        <v>5.8799999999999998E-2</v>
      </c>
      <c r="BW60">
        <v>7.1999999999999995E-2</v>
      </c>
      <c r="BX60">
        <v>6.6000000000000003E-2</v>
      </c>
      <c r="BZ60" t="s">
        <v>160</v>
      </c>
      <c r="CA60" s="18">
        <v>41109</v>
      </c>
      <c r="CB60" s="19">
        <v>0.67847222222222225</v>
      </c>
      <c r="CC60">
        <v>5.4300000000000001E-2</v>
      </c>
      <c r="CD60">
        <v>0.06</v>
      </c>
      <c r="CE60">
        <v>7.3999999999999996E-2</v>
      </c>
      <c r="CG60" t="s">
        <v>159</v>
      </c>
      <c r="CH60" s="18">
        <v>41080</v>
      </c>
      <c r="CI60" s="19">
        <v>0.6694444444444444</v>
      </c>
      <c r="CJ60">
        <v>-0.30669999999999997</v>
      </c>
      <c r="CK60">
        <v>-0.3</v>
      </c>
      <c r="CL60">
        <v>-0.19700000000000001</v>
      </c>
      <c r="CN60" t="s">
        <v>160</v>
      </c>
      <c r="CO60" s="18">
        <v>41120</v>
      </c>
      <c r="CP60" s="19">
        <v>0.77083333333333337</v>
      </c>
      <c r="CQ60">
        <v>7.2800000000000004E-2</v>
      </c>
      <c r="CR60">
        <v>6.5000000000000002E-2</v>
      </c>
      <c r="CS60">
        <v>4.5999999999999999E-2</v>
      </c>
      <c r="DP60" t="s">
        <v>158</v>
      </c>
      <c r="DQ60" s="18">
        <v>41128</v>
      </c>
      <c r="DR60" s="19">
        <v>0.67013888888888884</v>
      </c>
      <c r="DS60">
        <v>1.2E-2</v>
      </c>
      <c r="DT60">
        <v>1.7999999999999999E-2</v>
      </c>
      <c r="DU60">
        <v>1.9E-2</v>
      </c>
      <c r="DW60" t="s">
        <v>157</v>
      </c>
      <c r="DX60" s="18">
        <v>41172</v>
      </c>
      <c r="DY60" s="19">
        <v>0.66736111111111107</v>
      </c>
      <c r="DZ60">
        <v>0.43159999999999998</v>
      </c>
      <c r="EA60">
        <v>0.52929999999999999</v>
      </c>
      <c r="EB60">
        <v>0.53300000000000003</v>
      </c>
      <c r="ED60" t="s">
        <v>156</v>
      </c>
      <c r="EE60" s="18">
        <v>41144</v>
      </c>
      <c r="EF60" s="19">
        <v>0.67013888888888884</v>
      </c>
      <c r="EG60">
        <v>-2.0299999999999999E-2</v>
      </c>
      <c r="EH60">
        <v>0.105</v>
      </c>
      <c r="EI60">
        <v>9.7000000000000003E-2</v>
      </c>
      <c r="EK60" t="s">
        <v>159</v>
      </c>
      <c r="EL60" s="18">
        <v>41171</v>
      </c>
      <c r="EM60" s="19">
        <v>0.66874999999999996</v>
      </c>
      <c r="EN60">
        <v>0.40229999999999999</v>
      </c>
      <c r="EO60">
        <v>0.57999999999999996</v>
      </c>
      <c r="EP60">
        <v>0.58499999999999996</v>
      </c>
      <c r="ER60" t="s">
        <v>160</v>
      </c>
      <c r="ES60" s="18">
        <v>41122</v>
      </c>
      <c r="ET60" s="19">
        <v>0.67013888888888884</v>
      </c>
      <c r="EU60">
        <v>-6.4000000000000001E-2</v>
      </c>
      <c r="EV60">
        <v>-1.7999999999999999E-2</v>
      </c>
      <c r="EW60">
        <v>-1.2E-2</v>
      </c>
      <c r="EY60" t="s">
        <v>160</v>
      </c>
      <c r="EZ60" s="18">
        <v>41115</v>
      </c>
      <c r="FA60" s="19">
        <v>0.27083333333333331</v>
      </c>
      <c r="FB60">
        <v>0.81940000000000002</v>
      </c>
      <c r="FC60">
        <v>0.83</v>
      </c>
      <c r="FD60">
        <v>0.77200000000000002</v>
      </c>
      <c r="FF60" t="s">
        <v>159</v>
      </c>
      <c r="FG60" s="18">
        <v>41198</v>
      </c>
      <c r="FH60" s="19">
        <v>0.25</v>
      </c>
      <c r="FI60">
        <v>1.4875</v>
      </c>
      <c r="FJ60">
        <v>-2.4245362661989844E-14</v>
      </c>
      <c r="FK60">
        <v>1.456</v>
      </c>
      <c r="FM60" t="s">
        <v>155</v>
      </c>
      <c r="FN60" s="18">
        <v>41653</v>
      </c>
      <c r="FO60" s="19">
        <v>0.29097222222222224</v>
      </c>
      <c r="FP60">
        <v>1.4602999999999999</v>
      </c>
      <c r="FQ60">
        <v>1.4</v>
      </c>
      <c r="FR60">
        <v>1.371</v>
      </c>
      <c r="FT60" t="s">
        <v>158</v>
      </c>
      <c r="FU60" s="18">
        <v>41192</v>
      </c>
      <c r="FV60" s="19">
        <v>0.12569444444444444</v>
      </c>
      <c r="FW60">
        <v>1.39</v>
      </c>
      <c r="FX60">
        <v>1.4093</v>
      </c>
      <c r="FY60">
        <v>1.3089999999999999</v>
      </c>
      <c r="GA60" t="s">
        <v>160</v>
      </c>
      <c r="GB60" s="18">
        <v>41116</v>
      </c>
      <c r="GC60" s="19">
        <v>0.33611111111111114</v>
      </c>
      <c r="GD60">
        <v>1.7991999999999999</v>
      </c>
      <c r="GE60">
        <v>1.8</v>
      </c>
      <c r="GF60">
        <v>1.9530000000000001</v>
      </c>
    </row>
    <row r="61" spans="1:188" x14ac:dyDescent="0.3">
      <c r="A61" t="s">
        <v>160</v>
      </c>
      <c r="B61">
        <v>41023</v>
      </c>
      <c r="C61" s="19">
        <v>0.6875</v>
      </c>
      <c r="D61">
        <v>0.43930000000000002</v>
      </c>
      <c r="E61">
        <v>0.43930000000000002</v>
      </c>
      <c r="F61">
        <v>0.35899999999999999</v>
      </c>
      <c r="H61" t="s">
        <v>161</v>
      </c>
      <c r="I61" s="18">
        <v>41025</v>
      </c>
      <c r="J61" s="19">
        <v>0.6875</v>
      </c>
      <c r="K61">
        <v>1.4E-2</v>
      </c>
      <c r="L61">
        <v>1.4E-2</v>
      </c>
      <c r="M61">
        <v>4.0000000000000001E-3</v>
      </c>
      <c r="O61" t="s">
        <v>161</v>
      </c>
      <c r="P61" s="18">
        <v>41011</v>
      </c>
      <c r="Q61" t="s">
        <v>164</v>
      </c>
      <c r="R61">
        <v>0.21879999999999999</v>
      </c>
      <c r="S61">
        <v>0.21879999999999999</v>
      </c>
      <c r="T61">
        <v>0.20899999999999999</v>
      </c>
      <c r="V61" t="s">
        <v>161</v>
      </c>
      <c r="W61" s="18">
        <v>41022</v>
      </c>
      <c r="X61" s="19">
        <v>0.62847222222222221</v>
      </c>
      <c r="Y61">
        <v>0.09</v>
      </c>
      <c r="Z61">
        <v>0.09</v>
      </c>
      <c r="AA61">
        <v>-2.4245362661989844E-14</v>
      </c>
      <c r="AC61" t="s">
        <v>159</v>
      </c>
      <c r="AD61" s="18">
        <v>41018</v>
      </c>
      <c r="AE61" s="19">
        <v>0.67013888888888884</v>
      </c>
      <c r="AF61">
        <v>0.59740000000000004</v>
      </c>
      <c r="AG61">
        <v>0.6</v>
      </c>
      <c r="AH61">
        <v>0.57399999999999995</v>
      </c>
      <c r="AJ61" t="s">
        <v>160</v>
      </c>
      <c r="AK61" s="18">
        <v>41114</v>
      </c>
      <c r="AL61" s="19">
        <v>0.67013888888888884</v>
      </c>
      <c r="AM61">
        <v>1.6000000000000001E-3</v>
      </c>
      <c r="AN61">
        <v>1.6000000000000001E-3</v>
      </c>
      <c r="AO61">
        <v>1E-3</v>
      </c>
      <c r="AQ61" t="s">
        <v>157</v>
      </c>
      <c r="AR61" s="18">
        <v>41040</v>
      </c>
      <c r="AS61" s="19">
        <v>0.3125</v>
      </c>
      <c r="AT61">
        <v>2.5999999999999999E-3</v>
      </c>
      <c r="AU61">
        <v>4.0000000000000001E-3</v>
      </c>
      <c r="AV61">
        <v>4.0000000000000001E-3</v>
      </c>
      <c r="BE61" t="s">
        <v>161</v>
      </c>
      <c r="BF61" s="18">
        <v>41038</v>
      </c>
      <c r="BG61" s="19">
        <v>0.67083333333333328</v>
      </c>
      <c r="BH61">
        <v>-5.7299999999999997E-2</v>
      </c>
      <c r="BI61">
        <v>-5.0700000000000002E-2</v>
      </c>
      <c r="BJ61">
        <v>-4.7E-2</v>
      </c>
      <c r="BL61" t="s">
        <v>161</v>
      </c>
      <c r="BM61" s="18">
        <v>41026</v>
      </c>
      <c r="BO61">
        <v>6.5603999999999996</v>
      </c>
      <c r="BP61">
        <v>6.45</v>
      </c>
      <c r="BQ61">
        <v>5.8550000000000004</v>
      </c>
      <c r="BS61" t="s">
        <v>160</v>
      </c>
      <c r="BT61" s="18">
        <v>41051</v>
      </c>
      <c r="BU61" t="s">
        <v>164</v>
      </c>
      <c r="BV61">
        <v>5.4800000000000001E-2</v>
      </c>
      <c r="BW61">
        <v>6.6000000000000003E-2</v>
      </c>
      <c r="BX61">
        <v>6.3E-2</v>
      </c>
      <c r="BZ61" t="s">
        <v>161</v>
      </c>
      <c r="CA61" s="18">
        <v>41018</v>
      </c>
      <c r="CB61" s="19">
        <v>0.67638888888888893</v>
      </c>
      <c r="CC61">
        <v>-0.79139999999999999</v>
      </c>
      <c r="CD61">
        <v>0.12</v>
      </c>
      <c r="CE61">
        <v>9.4E-2</v>
      </c>
      <c r="CG61" t="s">
        <v>160</v>
      </c>
      <c r="CH61" s="18">
        <v>40990</v>
      </c>
      <c r="CI61" s="19">
        <v>0.66666666666666663</v>
      </c>
      <c r="CJ61">
        <v>-0.3145</v>
      </c>
      <c r="CK61">
        <v>-0.24</v>
      </c>
      <c r="CL61">
        <v>-0.19800000000000001</v>
      </c>
      <c r="CN61" t="s">
        <v>161</v>
      </c>
      <c r="CO61" s="18">
        <v>41031</v>
      </c>
      <c r="CP61" s="19">
        <v>0.75138888888888888</v>
      </c>
      <c r="CQ61">
        <v>1.3100000000000001E-2</v>
      </c>
      <c r="CR61">
        <v>2E-3</v>
      </c>
      <c r="CS61">
        <v>0</v>
      </c>
      <c r="DP61" t="s">
        <v>159</v>
      </c>
      <c r="DQ61" s="18">
        <v>41023</v>
      </c>
      <c r="DR61" s="19">
        <v>0.67013888888888884</v>
      </c>
      <c r="DS61">
        <v>1.6E-2</v>
      </c>
      <c r="DT61">
        <v>1.9E-2</v>
      </c>
      <c r="DU61">
        <v>2.1999999999999999E-2</v>
      </c>
      <c r="DW61" t="s">
        <v>158</v>
      </c>
      <c r="DX61" s="18">
        <v>41078</v>
      </c>
      <c r="DY61" s="19">
        <v>0.72777777777777775</v>
      </c>
      <c r="DZ61">
        <v>0.70050000000000001</v>
      </c>
      <c r="EA61">
        <v>0.82</v>
      </c>
      <c r="EB61">
        <v>0.78300000000000003</v>
      </c>
      <c r="ED61" t="s">
        <v>157</v>
      </c>
      <c r="EE61" s="18">
        <v>41046</v>
      </c>
      <c r="EF61" s="19">
        <v>0.67013888888888884</v>
      </c>
      <c r="EG61">
        <v>-3.49E-2</v>
      </c>
      <c r="EH61">
        <v>9.2499999999999999E-2</v>
      </c>
      <c r="EI61">
        <v>8.5999999999999993E-2</v>
      </c>
      <c r="EK61" t="s">
        <v>160</v>
      </c>
      <c r="EL61" s="18">
        <v>41079</v>
      </c>
      <c r="EM61" s="19">
        <v>0.67013888888888884</v>
      </c>
      <c r="EN61">
        <v>0.43459999999999999</v>
      </c>
      <c r="EO61">
        <v>0.6</v>
      </c>
      <c r="EP61">
        <v>0.59299999999999997</v>
      </c>
      <c r="EY61" t="s">
        <v>161</v>
      </c>
      <c r="EZ61" s="18">
        <v>41024</v>
      </c>
      <c r="FA61" s="19">
        <v>0.27083333333333331</v>
      </c>
      <c r="FB61">
        <v>0.90880000000000005</v>
      </c>
      <c r="FC61">
        <v>0.92</v>
      </c>
      <c r="FD61">
        <v>0.78600000000000003</v>
      </c>
      <c r="FF61" t="s">
        <v>160</v>
      </c>
      <c r="FG61" s="18">
        <v>41109</v>
      </c>
      <c r="FH61" s="19">
        <v>0.25</v>
      </c>
      <c r="FI61">
        <v>1.2390000000000001</v>
      </c>
      <c r="FJ61">
        <v>1.27</v>
      </c>
      <c r="FK61">
        <v>1.1930000000000001</v>
      </c>
      <c r="FM61" t="s">
        <v>152</v>
      </c>
      <c r="FN61" s="18">
        <v>41558</v>
      </c>
      <c r="FO61" s="19">
        <v>0.2902777777777778</v>
      </c>
      <c r="FP61">
        <v>1.5038</v>
      </c>
      <c r="FQ61">
        <v>1.42</v>
      </c>
      <c r="FR61">
        <v>1.2969999999999999</v>
      </c>
      <c r="FT61" t="s">
        <v>159</v>
      </c>
      <c r="FU61" s="18">
        <v>41053</v>
      </c>
      <c r="FV61" s="19">
        <v>0.12569444444444444</v>
      </c>
      <c r="FW61">
        <v>0.88</v>
      </c>
      <c r="FX61">
        <v>0.88</v>
      </c>
      <c r="FY61">
        <v>-2.4245362661989844E-14</v>
      </c>
      <c r="GA61" t="s">
        <v>161</v>
      </c>
      <c r="GB61" s="18">
        <v>41025</v>
      </c>
      <c r="GC61" s="19">
        <v>0.33611111111111114</v>
      </c>
      <c r="GD61">
        <v>2</v>
      </c>
      <c r="GE61">
        <v>2</v>
      </c>
      <c r="GF61">
        <v>2.0760000000000001</v>
      </c>
    </row>
    <row r="62" spans="1:188" x14ac:dyDescent="0.3">
      <c r="A62" t="s">
        <v>161</v>
      </c>
      <c r="B62">
        <v>40932</v>
      </c>
      <c r="C62" s="19">
        <v>0.6875</v>
      </c>
      <c r="D62">
        <v>0.49540000000000001</v>
      </c>
      <c r="E62">
        <v>0.49540000000000001</v>
      </c>
      <c r="F62">
        <v>0.36099999999999999</v>
      </c>
      <c r="H62" t="s">
        <v>162</v>
      </c>
      <c r="I62" s="18">
        <v>40939</v>
      </c>
      <c r="J62" s="19">
        <v>0.66736111111111107</v>
      </c>
      <c r="K62">
        <v>1.9E-2</v>
      </c>
      <c r="L62">
        <v>1.9E-2</v>
      </c>
      <c r="M62">
        <v>8.0000000000000002E-3</v>
      </c>
      <c r="O62" t="s">
        <v>162</v>
      </c>
      <c r="P62" s="18">
        <v>40927</v>
      </c>
      <c r="Q62" s="19">
        <v>0.71527777777777779</v>
      </c>
      <c r="R62">
        <v>0.20549999999999999</v>
      </c>
      <c r="S62">
        <v>0.20549999999999999</v>
      </c>
      <c r="T62">
        <v>0.22900000000000001</v>
      </c>
      <c r="V62" t="s">
        <v>162</v>
      </c>
      <c r="W62" s="18">
        <v>40940</v>
      </c>
      <c r="Y62">
        <v>0.14000000000000001</v>
      </c>
      <c r="Z62">
        <v>-2.4245362661989844E-14</v>
      </c>
      <c r="AA62">
        <v>-2.4245362661989844E-14</v>
      </c>
      <c r="AC62" t="s">
        <v>160</v>
      </c>
      <c r="AD62" s="18">
        <v>40927</v>
      </c>
      <c r="AE62" s="19">
        <v>0.67222222222222228</v>
      </c>
      <c r="AF62">
        <v>0.75580000000000003</v>
      </c>
      <c r="AG62">
        <v>0.78</v>
      </c>
      <c r="AH62">
        <v>0.76200000000000001</v>
      </c>
      <c r="AJ62" t="s">
        <v>161</v>
      </c>
      <c r="AK62" s="18">
        <v>41022</v>
      </c>
      <c r="AL62" s="19">
        <v>0.67013888888888884</v>
      </c>
      <c r="AM62">
        <v>-1.1000000000000001E-3</v>
      </c>
      <c r="AN62">
        <v>-1.1000000000000001E-3</v>
      </c>
      <c r="AO62">
        <v>-4.0000000000000001E-3</v>
      </c>
      <c r="AQ62" t="s">
        <v>158</v>
      </c>
      <c r="AR62" s="18">
        <v>40954</v>
      </c>
      <c r="AS62" s="19">
        <v>0.67986111111111114</v>
      </c>
      <c r="AT62">
        <v>5.1000000000000004E-3</v>
      </c>
      <c r="AU62">
        <v>6.4999999999999997E-3</v>
      </c>
      <c r="AV62">
        <v>6.0000000000000001E-3</v>
      </c>
      <c r="BE62" t="s">
        <v>162</v>
      </c>
      <c r="BF62" s="18">
        <v>40954</v>
      </c>
      <c r="BG62" s="19">
        <v>0.67083333333333328</v>
      </c>
      <c r="BH62">
        <v>-5.1999999999999998E-2</v>
      </c>
      <c r="BI62">
        <v>-4.5999999999999999E-2</v>
      </c>
      <c r="BJ62">
        <v>-4.1000000000000002E-2</v>
      </c>
      <c r="BL62" t="s">
        <v>265</v>
      </c>
      <c r="BM62" s="18">
        <v>40959</v>
      </c>
      <c r="BN62" s="19">
        <v>0.71527777777777779</v>
      </c>
      <c r="BO62">
        <v>25.7959</v>
      </c>
      <c r="BP62">
        <v>25.9</v>
      </c>
      <c r="BQ62">
        <v>25.776</v>
      </c>
      <c r="BS62" t="s">
        <v>161</v>
      </c>
      <c r="BT62" s="18">
        <v>40961</v>
      </c>
      <c r="BU62" t="s">
        <v>164</v>
      </c>
      <c r="BV62">
        <v>5.04E-2</v>
      </c>
      <c r="BW62">
        <v>6.2E-2</v>
      </c>
      <c r="BX62">
        <v>5.8000000000000003E-2</v>
      </c>
      <c r="BZ62" t="s">
        <v>162</v>
      </c>
      <c r="CA62" s="18">
        <v>40932</v>
      </c>
      <c r="CB62" s="19">
        <v>0.67847222222222225</v>
      </c>
      <c r="CC62">
        <v>-0.16020000000000001</v>
      </c>
      <c r="CD62">
        <v>-2.4245362661989844E-14</v>
      </c>
      <c r="CE62">
        <v>0.161</v>
      </c>
      <c r="CG62" t="s">
        <v>161</v>
      </c>
      <c r="CH62" s="18">
        <v>40898</v>
      </c>
      <c r="CI62" s="19">
        <v>0.67013888888888884</v>
      </c>
      <c r="CJ62">
        <v>-0.2041</v>
      </c>
      <c r="CK62">
        <v>-0.18</v>
      </c>
      <c r="CL62">
        <v>-0.1</v>
      </c>
      <c r="CN62" t="s">
        <v>162</v>
      </c>
      <c r="CO62" s="18">
        <v>40938</v>
      </c>
      <c r="CP62" s="19">
        <v>0.33333333333333331</v>
      </c>
      <c r="CQ62">
        <v>9.5299999999999996E-2</v>
      </c>
      <c r="CR62">
        <v>8.1000000000000003E-2</v>
      </c>
      <c r="CS62">
        <v>9.6000000000000002E-2</v>
      </c>
      <c r="DP62" t="s">
        <v>160</v>
      </c>
      <c r="DQ62" s="18">
        <v>40932</v>
      </c>
      <c r="DR62" s="19">
        <v>0.67013888888888884</v>
      </c>
      <c r="DS62">
        <v>0.02</v>
      </c>
      <c r="DT62">
        <v>2.5000000000000001E-2</v>
      </c>
      <c r="DU62">
        <v>2.8000000000000001E-2</v>
      </c>
      <c r="DW62" t="s">
        <v>159</v>
      </c>
      <c r="DX62" s="18">
        <v>40988</v>
      </c>
      <c r="DY62" s="19">
        <v>0.66666666666666663</v>
      </c>
      <c r="DZ62">
        <v>0.50419999999999998</v>
      </c>
      <c r="EA62">
        <v>0.62</v>
      </c>
      <c r="EB62">
        <v>0.56100000000000005</v>
      </c>
      <c r="ED62" t="s">
        <v>158</v>
      </c>
      <c r="EE62" s="18">
        <v>40962</v>
      </c>
      <c r="EF62" s="19">
        <v>0.67013888888888884</v>
      </c>
      <c r="EG62">
        <v>-8.3999999999999995E-3</v>
      </c>
      <c r="EH62">
        <v>0.1075</v>
      </c>
      <c r="EI62">
        <v>0.1</v>
      </c>
      <c r="EK62" t="s">
        <v>161</v>
      </c>
      <c r="EL62" s="18">
        <v>40987</v>
      </c>
      <c r="EM62" s="19">
        <v>0.67013888888888884</v>
      </c>
      <c r="EN62">
        <v>0.36209999999999998</v>
      </c>
      <c r="EO62">
        <v>0.56999999999999995</v>
      </c>
      <c r="EP62">
        <v>0.56999999999999995</v>
      </c>
      <c r="EY62" t="s">
        <v>162</v>
      </c>
      <c r="EZ62" s="18">
        <v>40939</v>
      </c>
      <c r="FA62" s="19">
        <v>0.27083333333333331</v>
      </c>
      <c r="FB62">
        <v>0.85509999999999997</v>
      </c>
      <c r="FC62">
        <v>0.87</v>
      </c>
      <c r="FD62">
        <v>0.80800000000000005</v>
      </c>
      <c r="FF62" t="s">
        <v>161</v>
      </c>
      <c r="FG62" s="18">
        <v>41018</v>
      </c>
      <c r="FH62" s="19">
        <v>0.25</v>
      </c>
      <c r="FI62">
        <v>1.2861</v>
      </c>
      <c r="FJ62">
        <v>1.31</v>
      </c>
      <c r="FK62">
        <v>1.177</v>
      </c>
      <c r="FM62" t="s">
        <v>156</v>
      </c>
      <c r="FN62" s="18">
        <v>41467</v>
      </c>
      <c r="FO62" s="19">
        <v>0.29097222222222224</v>
      </c>
      <c r="FP62">
        <v>1.6660999999999999</v>
      </c>
      <c r="FQ62">
        <v>1.6426000000000001</v>
      </c>
      <c r="FR62">
        <v>1.4510000000000001</v>
      </c>
      <c r="FT62" t="s">
        <v>160</v>
      </c>
      <c r="FU62" s="18">
        <v>40968</v>
      </c>
      <c r="FV62" s="19">
        <v>0.125</v>
      </c>
      <c r="FW62">
        <v>0.9</v>
      </c>
      <c r="FX62">
        <v>0.89949999999999997</v>
      </c>
      <c r="FY62">
        <v>0.873</v>
      </c>
      <c r="GA62" t="s">
        <v>162</v>
      </c>
      <c r="GB62" s="18">
        <v>40939</v>
      </c>
      <c r="GC62" s="19">
        <v>0.33611111111111114</v>
      </c>
      <c r="GD62">
        <v>1.97</v>
      </c>
      <c r="GE62">
        <v>1.97</v>
      </c>
      <c r="GF62">
        <v>1.9790000000000001</v>
      </c>
    </row>
    <row r="63" spans="1:188" x14ac:dyDescent="0.3">
      <c r="A63" t="s">
        <v>162</v>
      </c>
      <c r="B63">
        <v>40834</v>
      </c>
      <c r="C63" s="19">
        <v>0.6875</v>
      </c>
      <c r="D63">
        <v>0.25180000000000002</v>
      </c>
      <c r="E63">
        <v>0.25180000000000002</v>
      </c>
      <c r="F63">
        <v>0.26300000000000001</v>
      </c>
      <c r="H63" t="s">
        <v>163</v>
      </c>
      <c r="I63" s="18">
        <v>40841</v>
      </c>
      <c r="J63" s="19">
        <v>0.67013888888888884</v>
      </c>
      <c r="K63">
        <v>7.0000000000000001E-3</v>
      </c>
      <c r="L63">
        <v>7.0000000000000001E-3</v>
      </c>
      <c r="M63">
        <v>1.2E-2</v>
      </c>
      <c r="O63" t="s">
        <v>163</v>
      </c>
      <c r="P63" s="18">
        <v>40829</v>
      </c>
      <c r="Q63" s="19">
        <v>0.66736111111111107</v>
      </c>
      <c r="R63">
        <v>0.20830000000000001</v>
      </c>
      <c r="S63">
        <v>0.20830000000000001</v>
      </c>
      <c r="T63">
        <v>0.191</v>
      </c>
      <c r="V63" t="s">
        <v>163</v>
      </c>
      <c r="W63" s="18">
        <v>40940</v>
      </c>
      <c r="Y63">
        <v>0.1</v>
      </c>
      <c r="Z63">
        <v>-2.4245362661989844E-14</v>
      </c>
      <c r="AA63">
        <v>-2.4245362661989844E-14</v>
      </c>
      <c r="AC63" t="s">
        <v>161</v>
      </c>
      <c r="AD63" s="18">
        <v>40836</v>
      </c>
      <c r="AE63" s="19">
        <v>0.67083333333333328</v>
      </c>
      <c r="AF63">
        <v>0.67979999999999996</v>
      </c>
      <c r="AG63">
        <v>0.68</v>
      </c>
      <c r="AH63">
        <v>0.67900000000000005</v>
      </c>
      <c r="AJ63" t="s">
        <v>162</v>
      </c>
      <c r="AK63" s="18">
        <v>40933</v>
      </c>
      <c r="AL63" s="19">
        <v>0.67013888888888884</v>
      </c>
      <c r="AM63">
        <v>9.1000000000000004E-3</v>
      </c>
      <c r="AN63">
        <v>-2.4245362661989844E-14</v>
      </c>
      <c r="AO63">
        <v>8.0000000000000002E-3</v>
      </c>
      <c r="AQ63" t="s">
        <v>159</v>
      </c>
      <c r="AR63" s="18">
        <v>40857</v>
      </c>
      <c r="AS63" s="19">
        <v>0.67986111111111114</v>
      </c>
      <c r="AT63">
        <v>7.4999999999999997E-3</v>
      </c>
      <c r="AU63">
        <v>8.8000000000000005E-3</v>
      </c>
      <c r="AV63">
        <v>8.0000000000000002E-3</v>
      </c>
      <c r="BE63" t="s">
        <v>163</v>
      </c>
      <c r="BF63" s="18">
        <v>40849</v>
      </c>
      <c r="BG63" t="s">
        <v>164</v>
      </c>
      <c r="BH63">
        <v>-4.2000000000000003E-2</v>
      </c>
      <c r="BI63">
        <v>-3.6700000000000003E-2</v>
      </c>
      <c r="BJ63">
        <v>-0.04</v>
      </c>
      <c r="BL63" t="s">
        <v>162</v>
      </c>
      <c r="BM63" s="18">
        <v>40959</v>
      </c>
      <c r="BN63" s="19">
        <v>0.71527777777777779</v>
      </c>
      <c r="BO63">
        <v>6.0884999999999998</v>
      </c>
      <c r="BP63">
        <v>6.0937000000000001</v>
      </c>
      <c r="BQ63">
        <v>5.9729999999999999</v>
      </c>
      <c r="BS63" t="s">
        <v>162</v>
      </c>
      <c r="BT63" s="18">
        <v>40878</v>
      </c>
      <c r="BU63" s="19">
        <v>0.67013888888888884</v>
      </c>
      <c r="BV63">
        <v>6.1400000000000003E-2</v>
      </c>
      <c r="BW63">
        <v>7.2999999999999995E-2</v>
      </c>
      <c r="BX63">
        <v>7.2999999999999995E-2</v>
      </c>
      <c r="BZ63" t="s">
        <v>163</v>
      </c>
      <c r="CA63" s="18">
        <v>40843</v>
      </c>
      <c r="CB63" s="19">
        <v>0.67708333333333337</v>
      </c>
      <c r="CC63">
        <v>0.13</v>
      </c>
      <c r="CD63">
        <v>0.15</v>
      </c>
      <c r="CE63">
        <v>9.9000000000000005E-2</v>
      </c>
      <c r="CG63" t="s">
        <v>162</v>
      </c>
      <c r="CH63" s="18">
        <v>40815</v>
      </c>
      <c r="CI63" s="19">
        <v>0.67152777777777772</v>
      </c>
      <c r="CJ63">
        <v>-0.13339999999999999</v>
      </c>
      <c r="CK63">
        <v>-0.14000000000000001</v>
      </c>
      <c r="CL63">
        <v>-0.01</v>
      </c>
      <c r="CN63" t="s">
        <v>163</v>
      </c>
      <c r="CO63" s="18">
        <v>40847</v>
      </c>
      <c r="CP63" s="19">
        <v>0.83680555555555558</v>
      </c>
      <c r="CQ63">
        <v>3.1300000000000001E-2</v>
      </c>
      <c r="CR63">
        <v>4.3999999999999997E-2</v>
      </c>
      <c r="CS63">
        <v>0.04</v>
      </c>
      <c r="DP63" t="s">
        <v>161</v>
      </c>
      <c r="DQ63" s="18">
        <v>40841</v>
      </c>
      <c r="DR63" s="19">
        <v>0.67013888888888884</v>
      </c>
      <c r="DS63">
        <v>1.9E-2</v>
      </c>
      <c r="DT63">
        <v>2.4E-2</v>
      </c>
      <c r="DU63">
        <v>2.4E-2</v>
      </c>
      <c r="DW63" t="s">
        <v>160</v>
      </c>
      <c r="DX63" s="18">
        <v>40897</v>
      </c>
      <c r="DY63" s="19">
        <v>0.66805555555555551</v>
      </c>
      <c r="DZ63">
        <v>0.43809999999999999</v>
      </c>
      <c r="EA63">
        <v>0.53700000000000003</v>
      </c>
      <c r="EB63">
        <v>0.56999999999999995</v>
      </c>
      <c r="ED63" t="s">
        <v>159</v>
      </c>
      <c r="EE63" s="18">
        <v>40864</v>
      </c>
      <c r="EF63" s="19">
        <v>0.67013888888888884</v>
      </c>
      <c r="EG63">
        <v>-7.6E-3</v>
      </c>
      <c r="EH63">
        <v>8.5000000000000006E-2</v>
      </c>
      <c r="EI63">
        <v>7.6999999999999999E-2</v>
      </c>
      <c r="EK63" t="s">
        <v>162</v>
      </c>
      <c r="EL63" s="18">
        <v>40892</v>
      </c>
      <c r="EM63" s="19">
        <v>0.67013888888888884</v>
      </c>
      <c r="EN63">
        <v>0.498</v>
      </c>
      <c r="EO63">
        <v>0.67</v>
      </c>
      <c r="EP63">
        <v>0.60199999999999998</v>
      </c>
      <c r="EY63" t="s">
        <v>163</v>
      </c>
      <c r="EZ63" s="18">
        <v>40836</v>
      </c>
      <c r="FA63" s="19">
        <v>0.27083333333333331</v>
      </c>
      <c r="FB63">
        <v>1.1165</v>
      </c>
      <c r="FC63">
        <v>1.1299999999999999</v>
      </c>
      <c r="FD63">
        <v>1.1240000000000001</v>
      </c>
      <c r="FF63" t="s">
        <v>162</v>
      </c>
      <c r="FG63" s="18">
        <v>40927</v>
      </c>
      <c r="FH63" s="19">
        <v>0.25</v>
      </c>
      <c r="FI63">
        <v>1.1657999999999999</v>
      </c>
      <c r="FJ63">
        <v>1.17</v>
      </c>
      <c r="FK63">
        <v>1.0369999999999999</v>
      </c>
      <c r="FM63" t="s">
        <v>157</v>
      </c>
      <c r="FN63" s="18">
        <v>41376</v>
      </c>
      <c r="FO63" s="19">
        <v>0.29097222222222224</v>
      </c>
      <c r="FP63">
        <v>1.6335999999999999</v>
      </c>
      <c r="FQ63">
        <v>1.57</v>
      </c>
      <c r="FR63">
        <v>1.3839999999999999</v>
      </c>
      <c r="FT63" t="s">
        <v>161</v>
      </c>
      <c r="FU63" s="18">
        <v>40885</v>
      </c>
      <c r="FV63" s="19">
        <v>0.125</v>
      </c>
      <c r="FW63">
        <v>0.79579999999999995</v>
      </c>
      <c r="FX63">
        <v>0.79479999999999995</v>
      </c>
      <c r="FY63">
        <v>0.79600000000000004</v>
      </c>
      <c r="GA63" t="s">
        <v>163</v>
      </c>
      <c r="GB63" s="18">
        <v>40843</v>
      </c>
      <c r="GC63" t="s">
        <v>144</v>
      </c>
      <c r="GD63">
        <v>2.13</v>
      </c>
      <c r="GE63">
        <v>2.13</v>
      </c>
      <c r="GF63">
        <v>2.1259999999999999</v>
      </c>
    </row>
    <row r="64" spans="1:188" x14ac:dyDescent="0.3">
      <c r="A64" t="s">
        <v>163</v>
      </c>
      <c r="B64">
        <v>40743</v>
      </c>
      <c r="C64" s="19">
        <v>0.6875</v>
      </c>
      <c r="D64">
        <v>0.2782</v>
      </c>
      <c r="E64">
        <v>0.2782</v>
      </c>
      <c r="F64">
        <v>0.20899999999999999</v>
      </c>
      <c r="H64" t="s">
        <v>165</v>
      </c>
      <c r="I64" s="18">
        <v>40750</v>
      </c>
      <c r="J64" s="19">
        <v>0.66805555555555551</v>
      </c>
      <c r="K64">
        <v>2.0500000000000001E-2</v>
      </c>
      <c r="L64">
        <v>2.0500000000000001E-2</v>
      </c>
      <c r="M64">
        <v>1.7000000000000001E-2</v>
      </c>
      <c r="O64" t="s">
        <v>165</v>
      </c>
      <c r="P64" s="18">
        <v>40738</v>
      </c>
      <c r="Q64" s="19">
        <v>0.71805555555555556</v>
      </c>
      <c r="R64">
        <v>0.192</v>
      </c>
      <c r="S64">
        <v>0.192</v>
      </c>
      <c r="T64">
        <v>0.17</v>
      </c>
      <c r="AC64" t="s">
        <v>162</v>
      </c>
      <c r="AD64" s="18">
        <v>40745</v>
      </c>
      <c r="AE64" s="19">
        <v>0.67083333333333328</v>
      </c>
      <c r="AF64">
        <v>0.6885</v>
      </c>
      <c r="AG64">
        <v>0.69</v>
      </c>
      <c r="AH64">
        <v>0.57599999999999996</v>
      </c>
      <c r="AJ64" t="s">
        <v>163</v>
      </c>
      <c r="AK64" s="18">
        <v>40840</v>
      </c>
      <c r="AL64" s="19">
        <v>0.67013888888888884</v>
      </c>
      <c r="AM64">
        <v>1.66E-2</v>
      </c>
      <c r="AN64">
        <v>1.66E-2</v>
      </c>
      <c r="AO64">
        <v>1.4E-2</v>
      </c>
      <c r="AQ64" t="s">
        <v>160</v>
      </c>
      <c r="AR64" s="18">
        <v>40766</v>
      </c>
      <c r="AS64" s="19">
        <v>0.68125000000000002</v>
      </c>
      <c r="AT64">
        <v>6.4999999999999997E-3</v>
      </c>
      <c r="AU64">
        <v>8.0000000000000002E-3</v>
      </c>
      <c r="AV64">
        <v>8.0000000000000002E-3</v>
      </c>
      <c r="BE64" t="s">
        <v>165</v>
      </c>
      <c r="BF64" s="18">
        <v>40758</v>
      </c>
      <c r="BG64" t="s">
        <v>164</v>
      </c>
      <c r="BH64">
        <v>-0.04</v>
      </c>
      <c r="BI64">
        <v>-3.5299999999999998E-2</v>
      </c>
      <c r="BJ64">
        <v>-3.4000000000000002E-2</v>
      </c>
      <c r="BL64" t="s">
        <v>163</v>
      </c>
      <c r="BM64" s="18">
        <v>40847</v>
      </c>
      <c r="BN64" s="19">
        <v>0.64861111111111114</v>
      </c>
      <c r="BO64">
        <v>5.8494999999999999</v>
      </c>
      <c r="BP64">
        <v>5.85</v>
      </c>
      <c r="BQ64">
        <v>5.8879999999999999</v>
      </c>
      <c r="BS64" t="s">
        <v>163</v>
      </c>
      <c r="BT64" s="18">
        <v>40778</v>
      </c>
      <c r="BU64" t="s">
        <v>164</v>
      </c>
      <c r="BV64">
        <v>5.7799999999999997E-2</v>
      </c>
      <c r="BW64">
        <v>6.8000000000000005E-2</v>
      </c>
      <c r="BX64">
        <v>6.7000000000000004E-2</v>
      </c>
      <c r="BZ64" t="s">
        <v>165</v>
      </c>
      <c r="CA64" s="18">
        <v>40745</v>
      </c>
      <c r="CB64" s="19">
        <v>0.67638888888888893</v>
      </c>
      <c r="CC64">
        <v>0.08</v>
      </c>
      <c r="CD64">
        <v>0.09</v>
      </c>
      <c r="CE64">
        <v>8.1000000000000003E-2</v>
      </c>
      <c r="CG64" t="s">
        <v>163</v>
      </c>
      <c r="CH64" s="18">
        <v>40717</v>
      </c>
      <c r="CI64" s="19">
        <v>0.6694444444444444</v>
      </c>
      <c r="CJ64">
        <v>5.7299999999999997E-2</v>
      </c>
      <c r="CK64">
        <v>0.02</v>
      </c>
      <c r="CL64">
        <v>0.15</v>
      </c>
      <c r="CN64" t="s">
        <v>165</v>
      </c>
      <c r="CO64" s="18">
        <v>40757</v>
      </c>
      <c r="CP64" s="19">
        <v>0.83680555555555558</v>
      </c>
      <c r="CQ64">
        <v>3.8300000000000001E-2</v>
      </c>
      <c r="CR64">
        <v>2.5999999999999999E-2</v>
      </c>
      <c r="CS64">
        <v>5.7000000000000002E-2</v>
      </c>
      <c r="DP64" t="s">
        <v>162</v>
      </c>
      <c r="DQ64" s="18">
        <v>40757</v>
      </c>
      <c r="DR64" s="19">
        <v>0.67013888888888884</v>
      </c>
      <c r="DS64">
        <v>2.4E-2</v>
      </c>
      <c r="DT64">
        <v>2.9000000000000001E-2</v>
      </c>
      <c r="DU64">
        <v>2.9000000000000001E-2</v>
      </c>
      <c r="DW64" t="s">
        <v>161</v>
      </c>
      <c r="DX64" s="18">
        <v>40806</v>
      </c>
      <c r="DY64" s="19">
        <v>0.6694444444444444</v>
      </c>
      <c r="DZ64">
        <v>0.3765</v>
      </c>
      <c r="EA64">
        <v>0.48</v>
      </c>
      <c r="EB64">
        <v>0.46500000000000002</v>
      </c>
      <c r="ED64" t="s">
        <v>160</v>
      </c>
      <c r="EE64" s="18">
        <v>40773</v>
      </c>
      <c r="EF64" s="19">
        <v>0.67013888888888884</v>
      </c>
      <c r="EG64">
        <v>2.3E-3</v>
      </c>
      <c r="EH64">
        <v>7.4999999999999997E-2</v>
      </c>
      <c r="EI64">
        <v>7.2999999999999995E-2</v>
      </c>
      <c r="EK64" t="s">
        <v>163</v>
      </c>
      <c r="EL64" s="18">
        <v>40806</v>
      </c>
      <c r="EM64" s="19">
        <v>0.67013888888888884</v>
      </c>
      <c r="EN64">
        <v>0.40810000000000002</v>
      </c>
      <c r="EO64">
        <v>0.55000000000000004</v>
      </c>
      <c r="EP64">
        <v>0.53800000000000003</v>
      </c>
      <c r="EY64" t="s">
        <v>165</v>
      </c>
      <c r="EZ64" s="18">
        <v>40745</v>
      </c>
      <c r="FA64" s="19">
        <v>0.27083333333333331</v>
      </c>
      <c r="FB64">
        <v>1.1235999999999999</v>
      </c>
      <c r="FC64">
        <v>1.18</v>
      </c>
      <c r="FD64">
        <v>1.179</v>
      </c>
      <c r="FF64" t="s">
        <v>163</v>
      </c>
      <c r="FG64" s="18">
        <v>40834</v>
      </c>
      <c r="FH64" s="19">
        <v>0.25</v>
      </c>
      <c r="FI64">
        <v>1.1501999999999999</v>
      </c>
      <c r="FJ64">
        <v>1.17</v>
      </c>
      <c r="FK64">
        <v>1.1240000000000001</v>
      </c>
      <c r="FM64" t="s">
        <v>158</v>
      </c>
      <c r="FN64" s="18">
        <v>41290</v>
      </c>
      <c r="FO64" s="19">
        <v>0.29097222222222224</v>
      </c>
      <c r="FP64">
        <v>1.7335</v>
      </c>
      <c r="FQ64">
        <v>1.35</v>
      </c>
      <c r="FR64">
        <v>1.2170000000000001</v>
      </c>
      <c r="FT64" t="s">
        <v>162</v>
      </c>
      <c r="FU64" s="18">
        <v>40821</v>
      </c>
      <c r="FV64" s="19">
        <v>0.125</v>
      </c>
      <c r="FW64">
        <v>1.08</v>
      </c>
      <c r="FX64">
        <v>1.0807</v>
      </c>
      <c r="FY64">
        <v>1.0920000000000001</v>
      </c>
      <c r="GA64" t="s">
        <v>165</v>
      </c>
      <c r="GB64" s="18">
        <v>40752</v>
      </c>
      <c r="GC64" s="19">
        <v>0.33611111111111114</v>
      </c>
      <c r="GD64">
        <v>2.1800000000000002</v>
      </c>
      <c r="GE64">
        <v>2.1800000000000002</v>
      </c>
      <c r="GF64">
        <v>2.3380000000000001</v>
      </c>
    </row>
    <row r="65" spans="1:188" x14ac:dyDescent="0.3">
      <c r="A65" t="s">
        <v>165</v>
      </c>
      <c r="B65">
        <v>40653</v>
      </c>
      <c r="C65" s="19">
        <v>0.6875</v>
      </c>
      <c r="D65">
        <v>0.2286</v>
      </c>
      <c r="E65">
        <v>0.2286</v>
      </c>
      <c r="F65">
        <v>0.19400000000000001</v>
      </c>
      <c r="H65" t="s">
        <v>166</v>
      </c>
      <c r="I65" s="18">
        <v>40659</v>
      </c>
      <c r="J65" s="19">
        <v>0.67152777777777772</v>
      </c>
      <c r="K65">
        <v>2.1999999999999999E-2</v>
      </c>
      <c r="L65">
        <v>2.1999999999999999E-2</v>
      </c>
      <c r="M65">
        <v>3.1E-2</v>
      </c>
      <c r="O65" t="s">
        <v>166</v>
      </c>
      <c r="P65" s="18">
        <v>40647</v>
      </c>
      <c r="Q65" t="s">
        <v>164</v>
      </c>
      <c r="R65">
        <v>0.13780000000000001</v>
      </c>
      <c r="S65">
        <v>0.17599999999999999</v>
      </c>
      <c r="T65">
        <v>0.17799999999999999</v>
      </c>
      <c r="AC65" t="s">
        <v>163</v>
      </c>
      <c r="AD65" s="18">
        <v>40661</v>
      </c>
      <c r="AE65" s="19">
        <v>0.67152777777777772</v>
      </c>
      <c r="AF65">
        <v>0.54149999999999998</v>
      </c>
      <c r="AG65">
        <v>0.56000000000000005</v>
      </c>
      <c r="AH65">
        <v>0.55500000000000005</v>
      </c>
      <c r="AJ65" t="s">
        <v>165</v>
      </c>
      <c r="AK65" s="18">
        <v>40749</v>
      </c>
      <c r="AL65" s="19">
        <v>0.67013888888888884</v>
      </c>
      <c r="AM65">
        <v>1.7999999999999999E-2</v>
      </c>
      <c r="AN65">
        <v>1.7999999999999999E-2</v>
      </c>
      <c r="AO65">
        <v>1.6E-2</v>
      </c>
      <c r="AQ65" t="s">
        <v>161</v>
      </c>
      <c r="AR65" s="18">
        <v>40675</v>
      </c>
      <c r="AS65" s="19">
        <v>0.67986111111111114</v>
      </c>
      <c r="AT65">
        <v>5.4999999999999997E-3</v>
      </c>
      <c r="AU65">
        <v>6.7999999999999996E-3</v>
      </c>
      <c r="AV65">
        <v>5.0000000000000001E-3</v>
      </c>
      <c r="BE65" t="s">
        <v>166</v>
      </c>
      <c r="BF65" s="18">
        <v>40667</v>
      </c>
      <c r="BG65" s="19">
        <v>0.67361111111111116</v>
      </c>
      <c r="BH65">
        <v>-3.4000000000000002E-2</v>
      </c>
      <c r="BI65">
        <v>-2.93E-2</v>
      </c>
      <c r="BJ65">
        <v>-3.4000000000000002E-2</v>
      </c>
      <c r="BL65" t="s">
        <v>165</v>
      </c>
      <c r="BM65" s="18">
        <v>40784</v>
      </c>
      <c r="BO65">
        <v>6.8608000000000002</v>
      </c>
      <c r="BP65">
        <v>6.9363999999999999</v>
      </c>
      <c r="BQ65">
        <v>7.0670000000000002</v>
      </c>
      <c r="BS65" t="s">
        <v>165</v>
      </c>
      <c r="BT65" s="18">
        <v>40687</v>
      </c>
      <c r="BU65" s="19">
        <v>0.67013888888888884</v>
      </c>
      <c r="BV65">
        <v>5.4800000000000001E-2</v>
      </c>
      <c r="BW65">
        <v>6.4000000000000001E-2</v>
      </c>
      <c r="BX65">
        <v>6.2E-2</v>
      </c>
      <c r="BZ65" t="s">
        <v>166</v>
      </c>
      <c r="CA65" s="18">
        <v>40654</v>
      </c>
      <c r="CB65" s="19">
        <v>0.67638888888888893</v>
      </c>
      <c r="CC65">
        <v>0.68430000000000002</v>
      </c>
      <c r="CD65">
        <v>0.08</v>
      </c>
      <c r="CE65">
        <v>5.8999999999999997E-2</v>
      </c>
      <c r="CG65" t="s">
        <v>165</v>
      </c>
      <c r="CH65" s="18">
        <v>40625</v>
      </c>
      <c r="CI65" s="19">
        <v>0.67152777777777772</v>
      </c>
      <c r="CJ65">
        <v>1.7500000000000002E-2</v>
      </c>
      <c r="CK65">
        <v>7.0000000000000007E-2</v>
      </c>
      <c r="CL65">
        <v>-2.4245362661989844E-14</v>
      </c>
      <c r="CN65" t="s">
        <v>166</v>
      </c>
      <c r="CO65" s="18">
        <v>40667</v>
      </c>
      <c r="CP65" s="19">
        <v>0.83680555555555558</v>
      </c>
      <c r="CQ65">
        <v>2.7099999999999999E-2</v>
      </c>
      <c r="CR65">
        <v>0.01</v>
      </c>
      <c r="CS65">
        <v>3.9E-2</v>
      </c>
      <c r="DP65" t="s">
        <v>163</v>
      </c>
      <c r="DQ65" s="18">
        <v>40659</v>
      </c>
      <c r="DR65" s="19">
        <v>0.67013888888888884</v>
      </c>
      <c r="DS65">
        <v>2.5000000000000001E-2</v>
      </c>
      <c r="DT65">
        <v>2.8000000000000001E-2</v>
      </c>
      <c r="DU65">
        <v>2.8000000000000001E-2</v>
      </c>
      <c r="DW65" t="s">
        <v>162</v>
      </c>
      <c r="DX65" s="18">
        <v>40717</v>
      </c>
      <c r="DY65" s="19">
        <v>0.6694444444444444</v>
      </c>
      <c r="DZ65">
        <v>0.63829999999999998</v>
      </c>
      <c r="EA65">
        <v>0.75</v>
      </c>
      <c r="EB65">
        <v>0.71299999999999997</v>
      </c>
      <c r="ED65" t="s">
        <v>161</v>
      </c>
      <c r="EE65" s="18">
        <v>40682</v>
      </c>
      <c r="EF65" s="19">
        <v>0.67013888888888884</v>
      </c>
      <c r="EG65">
        <v>-2.0999999999999999E-3</v>
      </c>
      <c r="EH65">
        <v>7.0000000000000007E-2</v>
      </c>
      <c r="EI65">
        <v>6.8000000000000005E-2</v>
      </c>
      <c r="EK65" t="s">
        <v>165</v>
      </c>
      <c r="EL65" s="18">
        <v>40715</v>
      </c>
      <c r="EM65" s="19">
        <v>0.67013888888888884</v>
      </c>
      <c r="EN65">
        <v>0.44929999999999998</v>
      </c>
      <c r="EO65">
        <v>0.55000000000000004</v>
      </c>
      <c r="EP65">
        <v>0.51300000000000001</v>
      </c>
      <c r="EY65" t="s">
        <v>166</v>
      </c>
      <c r="EZ65" s="18">
        <v>40651</v>
      </c>
      <c r="FA65" s="19">
        <v>0.27083333333333331</v>
      </c>
      <c r="FB65">
        <v>1.2185999999999999</v>
      </c>
      <c r="FC65">
        <v>1.24</v>
      </c>
      <c r="FD65">
        <v>1.171</v>
      </c>
      <c r="FF65" t="s">
        <v>165</v>
      </c>
      <c r="FG65" s="18">
        <v>40743</v>
      </c>
      <c r="FH65" s="19">
        <v>0.25</v>
      </c>
      <c r="FI65">
        <v>1.1759999999999999</v>
      </c>
      <c r="FJ65">
        <v>1.1599999999999999</v>
      </c>
      <c r="FK65">
        <v>1.0389999999999999</v>
      </c>
      <c r="FM65" t="s">
        <v>159</v>
      </c>
      <c r="FN65" s="18">
        <v>41194</v>
      </c>
      <c r="FO65" s="19">
        <v>0.29097222222222224</v>
      </c>
      <c r="FP65">
        <v>1.4233</v>
      </c>
      <c r="FQ65">
        <v>1.46</v>
      </c>
      <c r="FR65">
        <v>1.204</v>
      </c>
      <c r="FT65" t="s">
        <v>163</v>
      </c>
      <c r="FU65" s="18">
        <v>40688</v>
      </c>
      <c r="FV65" s="19">
        <v>0.125</v>
      </c>
      <c r="FW65">
        <v>0.73</v>
      </c>
      <c r="FX65">
        <v>0.8004</v>
      </c>
      <c r="FY65">
        <v>-2.4245362661989844E-14</v>
      </c>
      <c r="GA65" t="s">
        <v>166</v>
      </c>
      <c r="GB65" s="18">
        <v>40661</v>
      </c>
      <c r="GC65" s="19">
        <v>0.33750000000000002</v>
      </c>
      <c r="GD65">
        <v>2.14</v>
      </c>
      <c r="GE65">
        <v>2.14</v>
      </c>
      <c r="GF65">
        <v>2.0659999999999998</v>
      </c>
    </row>
    <row r="66" spans="1:188" x14ac:dyDescent="0.3">
      <c r="A66" t="s">
        <v>166</v>
      </c>
      <c r="B66">
        <v>40561</v>
      </c>
      <c r="C66" s="19">
        <v>0.6875</v>
      </c>
      <c r="D66">
        <v>0.2296</v>
      </c>
      <c r="E66">
        <v>0.2298</v>
      </c>
      <c r="F66">
        <v>0.193</v>
      </c>
      <c r="H66" t="s">
        <v>167</v>
      </c>
      <c r="I66" s="18">
        <v>40570</v>
      </c>
      <c r="J66" s="19">
        <v>0.67083333333333328</v>
      </c>
      <c r="K66">
        <v>4.5499999999999999E-2</v>
      </c>
      <c r="L66">
        <v>4.5499999999999999E-2</v>
      </c>
      <c r="M66">
        <v>4.3999999999999997E-2</v>
      </c>
      <c r="O66" t="s">
        <v>167</v>
      </c>
      <c r="P66" s="18">
        <v>40563</v>
      </c>
      <c r="Q66" t="s">
        <v>164</v>
      </c>
      <c r="R66">
        <v>0.1953</v>
      </c>
      <c r="S66">
        <v>0.1953</v>
      </c>
      <c r="T66">
        <v>0.17899999999999999</v>
      </c>
      <c r="AC66" t="s">
        <v>165</v>
      </c>
      <c r="AD66" s="18">
        <v>40570</v>
      </c>
      <c r="AE66" s="19">
        <v>0.66597222222222219</v>
      </c>
      <c r="AF66">
        <v>0.7611</v>
      </c>
      <c r="AG66">
        <v>0.77</v>
      </c>
      <c r="AH66">
        <v>0.68300000000000005</v>
      </c>
      <c r="AJ66" t="s">
        <v>166</v>
      </c>
      <c r="AK66" s="18">
        <v>40658</v>
      </c>
      <c r="AL66" s="19">
        <v>0.67013888888888884</v>
      </c>
      <c r="AM66">
        <v>1.5900000000000001E-2</v>
      </c>
      <c r="AN66">
        <v>1.5900000000000001E-2</v>
      </c>
      <c r="AO66">
        <v>1.4999999999999999E-2</v>
      </c>
      <c r="AQ66" t="s">
        <v>162</v>
      </c>
      <c r="AR66" s="18">
        <v>40590</v>
      </c>
      <c r="AS66" s="19">
        <v>0.67986111111111114</v>
      </c>
      <c r="AT66">
        <v>4.8999999999999998E-3</v>
      </c>
      <c r="AU66">
        <v>5.7999999999999996E-3</v>
      </c>
      <c r="AV66">
        <v>4.0000000000000001E-3</v>
      </c>
      <c r="BE66" t="s">
        <v>167</v>
      </c>
      <c r="BF66" s="18">
        <v>40589</v>
      </c>
      <c r="BG66" s="19">
        <v>0.67708333333333337</v>
      </c>
      <c r="BH66">
        <v>-3.5999999999999997E-2</v>
      </c>
      <c r="BI66">
        <v>-3.1699999999999999E-2</v>
      </c>
      <c r="BJ66">
        <v>-3.4000000000000002E-2</v>
      </c>
      <c r="BL66" t="s">
        <v>166</v>
      </c>
      <c r="BM66" s="18">
        <v>40661</v>
      </c>
      <c r="BN66" s="19">
        <v>0.40694444444444444</v>
      </c>
      <c r="BO66">
        <v>6.9973000000000001</v>
      </c>
      <c r="BP66">
        <v>7</v>
      </c>
      <c r="BQ66">
        <v>6.9640000000000004</v>
      </c>
      <c r="BS66" t="s">
        <v>166</v>
      </c>
      <c r="BT66" s="18">
        <v>40597</v>
      </c>
      <c r="BU66" s="19">
        <v>0.67013888888888884</v>
      </c>
      <c r="BV66">
        <v>5.5599999999999997E-2</v>
      </c>
      <c r="BW66">
        <v>6.5000000000000002E-2</v>
      </c>
      <c r="BX66">
        <v>5.6000000000000001E-2</v>
      </c>
      <c r="BZ66" t="s">
        <v>167</v>
      </c>
      <c r="CA66" s="18">
        <v>40563</v>
      </c>
      <c r="CB66" s="19">
        <v>0.68402777777777779</v>
      </c>
      <c r="CC66">
        <v>0.25729999999999997</v>
      </c>
      <c r="CD66">
        <v>0.14000000000000001</v>
      </c>
      <c r="CE66">
        <v>0.111</v>
      </c>
      <c r="CG66" t="s">
        <v>166</v>
      </c>
      <c r="CH66" s="18">
        <v>40534</v>
      </c>
      <c r="CI66" s="19">
        <v>0.67361111111111116</v>
      </c>
      <c r="CJ66">
        <v>6.0600000000000001E-2</v>
      </c>
      <c r="CK66">
        <v>-0.04</v>
      </c>
      <c r="CL66">
        <v>-2.4245362661989844E-14</v>
      </c>
      <c r="CN66" t="s">
        <v>167</v>
      </c>
      <c r="CO66" s="18">
        <v>40568</v>
      </c>
      <c r="CP66" s="19">
        <v>0.83750000000000002</v>
      </c>
      <c r="CQ66">
        <v>0.1699</v>
      </c>
      <c r="CR66">
        <v>0.16</v>
      </c>
      <c r="CS66">
        <v>9.1999999999999998E-2</v>
      </c>
      <c r="DP66" t="s">
        <v>165</v>
      </c>
      <c r="DQ66" s="18">
        <v>40568</v>
      </c>
      <c r="DR66" s="19">
        <v>0.67013888888888884</v>
      </c>
      <c r="DS66">
        <v>2.7E-2</v>
      </c>
      <c r="DT66">
        <v>3.1E-2</v>
      </c>
      <c r="DU66">
        <v>2.5999999999999999E-2</v>
      </c>
      <c r="DW66" t="s">
        <v>163</v>
      </c>
      <c r="DX66" s="18">
        <v>40626</v>
      </c>
      <c r="DY66" s="19">
        <v>0.66666666666666663</v>
      </c>
      <c r="DZ66">
        <v>0.4269</v>
      </c>
      <c r="EA66">
        <v>0.54</v>
      </c>
      <c r="EB66">
        <v>0.495</v>
      </c>
      <c r="ED66" t="s">
        <v>162</v>
      </c>
      <c r="EE66" s="18">
        <v>40598</v>
      </c>
      <c r="EF66" s="19">
        <v>0.67013888888888884</v>
      </c>
      <c r="EG66">
        <v>2.0999999999999999E-3</v>
      </c>
      <c r="EH66">
        <v>7.7499999999999999E-2</v>
      </c>
      <c r="EI66">
        <v>6.7000000000000004E-2</v>
      </c>
      <c r="EK66" t="s">
        <v>166</v>
      </c>
      <c r="EL66" s="18">
        <v>40624</v>
      </c>
      <c r="EM66" s="19">
        <v>0.67013888888888884</v>
      </c>
      <c r="EN66">
        <v>0.45800000000000002</v>
      </c>
      <c r="EO66">
        <v>0.57999999999999996</v>
      </c>
      <c r="EP66">
        <v>0.57099999999999995</v>
      </c>
      <c r="EY66" t="s">
        <v>167</v>
      </c>
      <c r="EZ66" s="18">
        <v>40570</v>
      </c>
      <c r="FA66" s="19">
        <v>0.27083333333333331</v>
      </c>
      <c r="FB66">
        <v>1.1778999999999999</v>
      </c>
      <c r="FC66">
        <v>1.1100000000000001</v>
      </c>
      <c r="FD66">
        <v>1.095</v>
      </c>
      <c r="FF66" t="s">
        <v>166</v>
      </c>
      <c r="FG66" s="18">
        <v>40654</v>
      </c>
      <c r="FH66" s="19">
        <v>0.25</v>
      </c>
      <c r="FI66">
        <v>1.1916</v>
      </c>
      <c r="FJ66">
        <v>1.22</v>
      </c>
      <c r="FK66">
        <v>0.876</v>
      </c>
      <c r="FM66" t="s">
        <v>160</v>
      </c>
      <c r="FN66" s="18">
        <v>41103</v>
      </c>
      <c r="FO66" s="19">
        <v>0.29097222222222224</v>
      </c>
      <c r="FP66">
        <v>1.1587000000000001</v>
      </c>
      <c r="FQ66">
        <v>1.1782999999999999</v>
      </c>
      <c r="FR66">
        <v>0.75700000000000001</v>
      </c>
      <c r="FT66" t="s">
        <v>165</v>
      </c>
      <c r="FU66" s="18">
        <v>40604</v>
      </c>
      <c r="FV66" s="19">
        <v>0.125</v>
      </c>
      <c r="FW66">
        <v>0.79</v>
      </c>
      <c r="FX66">
        <v>0.79</v>
      </c>
      <c r="FY66">
        <v>0.78600000000000003</v>
      </c>
      <c r="GA66" t="s">
        <v>167</v>
      </c>
      <c r="GB66" s="18">
        <v>40574</v>
      </c>
      <c r="GC66" s="19">
        <v>0.33541666666666664</v>
      </c>
      <c r="GD66">
        <v>1.8501000000000001</v>
      </c>
      <c r="GE66">
        <v>1.85</v>
      </c>
      <c r="GF66">
        <v>1.631</v>
      </c>
    </row>
    <row r="67" spans="1:188" x14ac:dyDescent="0.3">
      <c r="A67" t="s">
        <v>167</v>
      </c>
      <c r="B67">
        <v>40469</v>
      </c>
      <c r="C67" s="19">
        <v>0.6875</v>
      </c>
      <c r="D67">
        <v>0.16569999999999999</v>
      </c>
      <c r="E67">
        <v>0.16569999999999999</v>
      </c>
      <c r="F67">
        <v>0.14699999999999999</v>
      </c>
      <c r="H67" t="s">
        <v>168</v>
      </c>
      <c r="I67" s="18">
        <v>40472</v>
      </c>
      <c r="J67" s="19">
        <v>0.66805555555555551</v>
      </c>
      <c r="K67">
        <v>2.5499999999999998E-2</v>
      </c>
      <c r="L67">
        <v>2.5499999999999998E-2</v>
      </c>
      <c r="M67">
        <v>2.4E-2</v>
      </c>
      <c r="O67" t="s">
        <v>168</v>
      </c>
      <c r="P67" s="18">
        <v>40465</v>
      </c>
      <c r="Q67" s="19">
        <v>0.69097222222222221</v>
      </c>
      <c r="R67">
        <v>0.16800000000000001</v>
      </c>
      <c r="S67">
        <v>0.16800000000000001</v>
      </c>
      <c r="T67">
        <v>0.14799999999999999</v>
      </c>
      <c r="AC67" t="s">
        <v>166</v>
      </c>
      <c r="AD67" s="18">
        <v>40479</v>
      </c>
      <c r="AE67" s="19">
        <v>0.67500000000000004</v>
      </c>
      <c r="AF67">
        <v>0.61750000000000005</v>
      </c>
      <c r="AG67">
        <v>0.62</v>
      </c>
      <c r="AH67">
        <v>0.54800000000000004</v>
      </c>
      <c r="AJ67" t="s">
        <v>167</v>
      </c>
      <c r="AK67" s="18">
        <v>40569</v>
      </c>
      <c r="AL67" s="19">
        <v>0.67361111111111116</v>
      </c>
      <c r="AM67">
        <v>1.24E-2</v>
      </c>
      <c r="AN67">
        <v>1.24E-2</v>
      </c>
      <c r="AO67">
        <v>0.01</v>
      </c>
      <c r="AQ67" t="s">
        <v>163</v>
      </c>
      <c r="AR67" s="18">
        <v>40493</v>
      </c>
      <c r="AS67" s="19">
        <v>0.68263888888888891</v>
      </c>
      <c r="AT67">
        <v>3.7000000000000002E-3</v>
      </c>
      <c r="AU67">
        <v>3.8E-3</v>
      </c>
      <c r="AV67">
        <v>4.0000000000000001E-3</v>
      </c>
      <c r="BE67" t="s">
        <v>168</v>
      </c>
      <c r="BF67" s="18">
        <v>40491</v>
      </c>
      <c r="BG67" s="19">
        <v>0.67708333333333337</v>
      </c>
      <c r="BH67">
        <v>-2.53E-2</v>
      </c>
      <c r="BI67">
        <v>-2.47E-2</v>
      </c>
      <c r="BJ67">
        <v>-2.9000000000000001E-2</v>
      </c>
      <c r="BL67" t="s">
        <v>266</v>
      </c>
      <c r="BM67" s="18">
        <v>40570</v>
      </c>
      <c r="BN67" s="19">
        <v>0.7006944444444444</v>
      </c>
      <c r="BO67">
        <v>30.164400000000001</v>
      </c>
      <c r="BP67">
        <v>31.2</v>
      </c>
      <c r="BQ67">
        <v>30.251999999999999</v>
      </c>
      <c r="BS67" t="s">
        <v>167</v>
      </c>
      <c r="BT67" s="18">
        <v>40514</v>
      </c>
      <c r="BU67" t="s">
        <v>164</v>
      </c>
      <c r="BV67">
        <v>6.6000000000000003E-2</v>
      </c>
      <c r="BW67">
        <v>7.5999999999999998E-2</v>
      </c>
      <c r="BX67">
        <v>6.2E-2</v>
      </c>
      <c r="BZ67" t="s">
        <v>168</v>
      </c>
      <c r="CA67" s="18">
        <v>40465</v>
      </c>
      <c r="CB67" s="19">
        <v>0.67708333333333337</v>
      </c>
      <c r="CC67">
        <v>-0.15179999999999999</v>
      </c>
      <c r="CD67">
        <v>0.15</v>
      </c>
      <c r="CE67">
        <v>5.6000000000000001E-2</v>
      </c>
      <c r="CG67" t="s">
        <v>167</v>
      </c>
      <c r="CH67" s="18">
        <v>40458</v>
      </c>
      <c r="CI67" s="19">
        <v>0.67222222222222228</v>
      </c>
      <c r="CJ67">
        <v>0.32340000000000002</v>
      </c>
      <c r="CK67">
        <v>0.33</v>
      </c>
      <c r="CL67">
        <v>0.39600000000000002</v>
      </c>
      <c r="CN67" t="s">
        <v>168</v>
      </c>
      <c r="CO67" s="18">
        <v>40483</v>
      </c>
      <c r="CP67" s="19">
        <v>0.83680555555555558</v>
      </c>
      <c r="CQ67">
        <v>7.3599999999999999E-2</v>
      </c>
      <c r="CR67">
        <v>6.3E-2</v>
      </c>
      <c r="CS67">
        <v>9.5000000000000001E-2</v>
      </c>
      <c r="DP67" t="s">
        <v>166</v>
      </c>
      <c r="DQ67" s="18">
        <v>40477</v>
      </c>
      <c r="DR67" s="19">
        <v>0.67013888888888884</v>
      </c>
      <c r="DS67">
        <v>1.8100000000000002E-2</v>
      </c>
      <c r="DT67">
        <v>2.1999999999999999E-2</v>
      </c>
      <c r="DU67">
        <v>2.1999999999999999E-2</v>
      </c>
      <c r="DW67" t="s">
        <v>165</v>
      </c>
      <c r="DX67" s="18">
        <v>40528</v>
      </c>
      <c r="DY67" s="19">
        <v>0.66597222222222219</v>
      </c>
      <c r="DZ67">
        <v>0.38869999999999999</v>
      </c>
      <c r="EA67">
        <v>0.51</v>
      </c>
      <c r="EB67">
        <v>0.45500000000000002</v>
      </c>
      <c r="ED67" t="s">
        <v>163</v>
      </c>
      <c r="EE67" s="18">
        <v>40500</v>
      </c>
      <c r="EF67" s="19">
        <v>0.67013888888888884</v>
      </c>
      <c r="EG67">
        <v>3.3599999999999998E-2</v>
      </c>
      <c r="EH67">
        <v>0.08</v>
      </c>
      <c r="EI67">
        <v>7.6999999999999999E-2</v>
      </c>
      <c r="EK67" t="s">
        <v>167</v>
      </c>
      <c r="EL67" s="18">
        <v>40532</v>
      </c>
      <c r="EM67" s="19">
        <v>0.67013888888888884</v>
      </c>
      <c r="EN67">
        <v>0.52849999999999997</v>
      </c>
      <c r="EO67">
        <v>0.56000000000000005</v>
      </c>
      <c r="EP67">
        <v>0.52</v>
      </c>
      <c r="EY67" t="s">
        <v>168</v>
      </c>
      <c r="EZ67" s="18">
        <v>40472</v>
      </c>
      <c r="FA67" s="19">
        <v>0.27083333333333331</v>
      </c>
      <c r="FB67">
        <v>1.2143999999999999</v>
      </c>
      <c r="FC67">
        <v>1.21</v>
      </c>
      <c r="FD67">
        <v>1.149</v>
      </c>
      <c r="FF67" t="s">
        <v>167</v>
      </c>
      <c r="FG67" s="18">
        <v>40563</v>
      </c>
      <c r="FH67" s="19">
        <v>0.25</v>
      </c>
      <c r="FI67">
        <v>1.1026</v>
      </c>
      <c r="FJ67">
        <v>0.94</v>
      </c>
      <c r="FK67">
        <v>0.84399999999999997</v>
      </c>
      <c r="FM67" t="s">
        <v>161</v>
      </c>
      <c r="FN67" s="18">
        <v>41012</v>
      </c>
      <c r="FO67" s="19">
        <v>0.2902777777777778</v>
      </c>
      <c r="FP67">
        <v>1.5880000000000001</v>
      </c>
      <c r="FQ67">
        <v>1.31</v>
      </c>
      <c r="FR67">
        <v>1.175</v>
      </c>
      <c r="FT67" t="s">
        <v>166</v>
      </c>
      <c r="FU67" s="18">
        <v>40520</v>
      </c>
      <c r="FV67" s="19">
        <v>0.125</v>
      </c>
      <c r="FW67">
        <v>0.71150000000000002</v>
      </c>
      <c r="FX67">
        <v>0.71279999999999999</v>
      </c>
      <c r="FY67">
        <v>0.69099999999999995</v>
      </c>
      <c r="GA67" t="s">
        <v>168</v>
      </c>
      <c r="GB67" s="18">
        <v>40479</v>
      </c>
      <c r="GC67" s="19">
        <v>0.33611111111111114</v>
      </c>
      <c r="GD67">
        <v>1.4402999999999999</v>
      </c>
      <c r="GE67">
        <v>1.44</v>
      </c>
      <c r="GF67">
        <v>1.3939999999999999</v>
      </c>
    </row>
    <row r="68" spans="1:188" x14ac:dyDescent="0.3">
      <c r="A68" t="s">
        <v>168</v>
      </c>
      <c r="B68">
        <v>40379</v>
      </c>
      <c r="C68" s="19">
        <v>0.6875</v>
      </c>
      <c r="D68">
        <v>0.12540000000000001</v>
      </c>
      <c r="E68">
        <v>0.12540000000000001</v>
      </c>
      <c r="F68">
        <v>0.112</v>
      </c>
      <c r="H68" t="s">
        <v>169</v>
      </c>
      <c r="I68" s="18">
        <v>40381</v>
      </c>
      <c r="J68" s="19">
        <v>0.67361111111111116</v>
      </c>
      <c r="K68">
        <v>2.2499999999999999E-2</v>
      </c>
      <c r="L68">
        <v>2.2499999999999999E-2</v>
      </c>
      <c r="M68">
        <v>2.7E-2</v>
      </c>
      <c r="O68" t="s">
        <v>169</v>
      </c>
      <c r="P68" s="18">
        <v>40374</v>
      </c>
      <c r="Q68" s="19">
        <v>0.69166666666666665</v>
      </c>
      <c r="R68">
        <v>0.14280000000000001</v>
      </c>
      <c r="S68">
        <v>0.14280000000000001</v>
      </c>
      <c r="T68">
        <v>0.14299999999999999</v>
      </c>
      <c r="AC68" t="s">
        <v>167</v>
      </c>
      <c r="AD68" s="18">
        <v>40381</v>
      </c>
      <c r="AE68" s="19">
        <v>0.67708333333333337</v>
      </c>
      <c r="AF68">
        <v>0.50880000000000003</v>
      </c>
      <c r="AG68">
        <v>0.51</v>
      </c>
      <c r="AH68">
        <v>0.46400000000000002</v>
      </c>
      <c r="AJ68" t="s">
        <v>168</v>
      </c>
      <c r="AK68" s="18">
        <v>40471</v>
      </c>
      <c r="AL68" s="19">
        <v>0.67013888888888884</v>
      </c>
      <c r="AM68">
        <v>0.01</v>
      </c>
      <c r="AN68">
        <v>0.01</v>
      </c>
      <c r="AO68">
        <v>0.01</v>
      </c>
      <c r="AQ68" t="s">
        <v>165</v>
      </c>
      <c r="AR68" s="18">
        <v>40402</v>
      </c>
      <c r="AS68" s="19">
        <v>0.68055555555555558</v>
      </c>
      <c r="AT68">
        <v>1E-3</v>
      </c>
      <c r="AU68">
        <v>8.0000000000000004E-4</v>
      </c>
      <c r="AV68">
        <v>3.0000000000000001E-3</v>
      </c>
      <c r="BE68" t="s">
        <v>169</v>
      </c>
      <c r="BF68" s="18">
        <v>40394</v>
      </c>
      <c r="BG68" s="19">
        <v>0.67013888888888884</v>
      </c>
      <c r="BH68">
        <v>-0.33600000000000002</v>
      </c>
      <c r="BI68">
        <v>-2.4245362661989844E-14</v>
      </c>
      <c r="BJ68">
        <v>-3.92</v>
      </c>
      <c r="BL68" t="s">
        <v>168</v>
      </c>
      <c r="BM68" s="18">
        <v>40480</v>
      </c>
      <c r="BN68" s="19">
        <v>0.42638888888888887</v>
      </c>
      <c r="BO68">
        <v>8.2542000000000009</v>
      </c>
      <c r="BP68">
        <v>9.0599000000000007</v>
      </c>
      <c r="BQ68">
        <v>7.4850000000000003</v>
      </c>
      <c r="BS68" t="s">
        <v>168</v>
      </c>
      <c r="BT68" s="18">
        <v>40414</v>
      </c>
      <c r="BU68" t="s">
        <v>164</v>
      </c>
      <c r="BV68">
        <v>5.0799999999999998E-2</v>
      </c>
      <c r="BW68">
        <v>6.0999999999999999E-2</v>
      </c>
      <c r="BX68">
        <v>5.6000000000000001E-2</v>
      </c>
      <c r="BZ68" t="s">
        <v>169</v>
      </c>
      <c r="CA68" s="18">
        <v>40374</v>
      </c>
      <c r="CB68" s="19">
        <v>0.67708333333333337</v>
      </c>
      <c r="CC68">
        <v>-6.4299999999999996E-2</v>
      </c>
      <c r="CD68">
        <v>0.11</v>
      </c>
      <c r="CE68">
        <v>6.3E-2</v>
      </c>
      <c r="CG68" t="s">
        <v>168</v>
      </c>
      <c r="CH68" s="18">
        <v>40357</v>
      </c>
      <c r="CI68" s="19">
        <v>0.67083333333333328</v>
      </c>
      <c r="CJ68">
        <v>0.68520000000000003</v>
      </c>
      <c r="CK68">
        <v>0.46</v>
      </c>
      <c r="CL68">
        <v>0.42699999999999999</v>
      </c>
      <c r="CN68" t="s">
        <v>169</v>
      </c>
      <c r="CO68" s="18">
        <v>40392</v>
      </c>
      <c r="CP68" s="19">
        <v>0.82708333333333328</v>
      </c>
      <c r="CQ68">
        <v>9.7000000000000003E-2</v>
      </c>
      <c r="CR68">
        <v>9.7000000000000003E-2</v>
      </c>
      <c r="CS68">
        <v>8.5999999999999993E-2</v>
      </c>
      <c r="DP68" t="s">
        <v>167</v>
      </c>
      <c r="DQ68" s="18">
        <v>40393</v>
      </c>
      <c r="DR68" s="19">
        <v>0.67013888888888884</v>
      </c>
      <c r="DS68">
        <v>1.7999999999999999E-2</v>
      </c>
      <c r="DT68">
        <v>2.1000000000000001E-2</v>
      </c>
      <c r="DU68">
        <v>2.1999999999999999E-2</v>
      </c>
      <c r="DW68" t="s">
        <v>166</v>
      </c>
      <c r="DX68" s="18">
        <v>40437</v>
      </c>
      <c r="DY68" s="19">
        <v>0.66597222222222219</v>
      </c>
      <c r="DZ68">
        <v>0.30080000000000001</v>
      </c>
      <c r="EA68">
        <v>0.42</v>
      </c>
      <c r="EB68">
        <v>0.36499999999999999</v>
      </c>
      <c r="ED68" t="s">
        <v>165</v>
      </c>
      <c r="EE68" s="18">
        <v>40409</v>
      </c>
      <c r="EF68" s="19">
        <v>0.68333333333333335</v>
      </c>
      <c r="EG68">
        <v>2.6800000000000001E-2</v>
      </c>
      <c r="EH68">
        <v>7.2499999999999995E-2</v>
      </c>
      <c r="EI68">
        <v>6.7000000000000004E-2</v>
      </c>
      <c r="EK68" t="s">
        <v>168</v>
      </c>
      <c r="EL68" s="18">
        <v>40442</v>
      </c>
      <c r="EM68" s="19">
        <v>0.67013888888888884</v>
      </c>
      <c r="EN68">
        <v>0.41620000000000001</v>
      </c>
      <c r="EO68">
        <v>0.54</v>
      </c>
      <c r="EP68">
        <v>0.49399999999999999</v>
      </c>
      <c r="EY68" t="s">
        <v>169</v>
      </c>
      <c r="EZ68" s="18">
        <v>40381</v>
      </c>
      <c r="FA68" s="19">
        <v>0.27083333333333331</v>
      </c>
      <c r="FB68">
        <v>1.2336</v>
      </c>
      <c r="FC68">
        <v>1.24</v>
      </c>
      <c r="FD68">
        <v>1.103</v>
      </c>
      <c r="FF68" t="s">
        <v>168</v>
      </c>
      <c r="FG68" s="18">
        <v>40470</v>
      </c>
      <c r="FH68" s="19">
        <v>0.25</v>
      </c>
      <c r="FI68">
        <v>1.1394</v>
      </c>
      <c r="FJ68">
        <v>1.1399999999999999</v>
      </c>
      <c r="FK68">
        <v>0.84899999999999998</v>
      </c>
      <c r="FM68" t="s">
        <v>162</v>
      </c>
      <c r="FN68" s="18">
        <v>40921</v>
      </c>
      <c r="FO68" s="19">
        <v>0.29097222222222224</v>
      </c>
      <c r="FP68">
        <v>1.0889</v>
      </c>
      <c r="FQ68">
        <v>0.9</v>
      </c>
      <c r="FR68">
        <v>0.90300000000000002</v>
      </c>
      <c r="FT68" t="s">
        <v>167</v>
      </c>
      <c r="FU68" s="18">
        <v>40457</v>
      </c>
      <c r="FV68" s="19">
        <v>0.12569444444444444</v>
      </c>
      <c r="FW68">
        <v>0.97</v>
      </c>
      <c r="FX68">
        <v>0.97670000000000001</v>
      </c>
      <c r="FY68">
        <v>0.95399999999999996</v>
      </c>
      <c r="GA68" t="s">
        <v>169</v>
      </c>
      <c r="GB68" s="18">
        <v>40388</v>
      </c>
      <c r="GC68" s="19">
        <v>0.33541666666666664</v>
      </c>
      <c r="GD68">
        <v>1.6866000000000001</v>
      </c>
      <c r="GE68">
        <v>1.6</v>
      </c>
      <c r="GF68">
        <v>1.4510000000000001</v>
      </c>
    </row>
    <row r="69" spans="1:188" x14ac:dyDescent="0.3">
      <c r="A69" t="s">
        <v>169</v>
      </c>
      <c r="B69">
        <v>40288</v>
      </c>
      <c r="C69" s="19">
        <v>0.69027777777777777</v>
      </c>
      <c r="D69">
        <v>0.11890000000000001</v>
      </c>
      <c r="E69">
        <v>0.11899999999999999</v>
      </c>
      <c r="F69">
        <v>9.2999999999999999E-2</v>
      </c>
      <c r="H69" t="s">
        <v>170</v>
      </c>
      <c r="I69" s="18">
        <v>40290</v>
      </c>
      <c r="J69" s="19">
        <v>0.66736111111111107</v>
      </c>
      <c r="K69">
        <v>3.3000000000000002E-2</v>
      </c>
      <c r="L69">
        <v>3.3000000000000002E-2</v>
      </c>
      <c r="M69">
        <v>3.1E-2</v>
      </c>
      <c r="O69" t="s">
        <v>170</v>
      </c>
      <c r="P69" s="18">
        <v>40283</v>
      </c>
      <c r="Q69" s="19">
        <v>0.66736111111111107</v>
      </c>
      <c r="R69">
        <v>0.1515</v>
      </c>
      <c r="S69">
        <v>0.1515</v>
      </c>
      <c r="T69">
        <v>0.14599999999999999</v>
      </c>
      <c r="AC69" t="s">
        <v>168</v>
      </c>
      <c r="AD69" s="18">
        <v>40290</v>
      </c>
      <c r="AE69" s="19">
        <v>0.67361111111111116</v>
      </c>
      <c r="AF69">
        <v>0.44080000000000003</v>
      </c>
      <c r="AG69">
        <v>0.45</v>
      </c>
      <c r="AH69">
        <v>0.42199999999999999</v>
      </c>
      <c r="AJ69" t="s">
        <v>169</v>
      </c>
      <c r="AK69" s="18">
        <v>40380</v>
      </c>
      <c r="AL69" s="19">
        <v>0.67013888888888884</v>
      </c>
      <c r="AM69">
        <v>1.14E-2</v>
      </c>
      <c r="AN69">
        <v>1.14E-2</v>
      </c>
      <c r="AO69">
        <v>0.01</v>
      </c>
      <c r="AQ69" t="s">
        <v>166</v>
      </c>
      <c r="AR69" s="18">
        <v>40311</v>
      </c>
      <c r="AS69" s="19">
        <v>0.68055555555555558</v>
      </c>
      <c r="AT69">
        <v>5.7000000000000002E-3</v>
      </c>
      <c r="AU69">
        <v>5.7999999999999996E-3</v>
      </c>
      <c r="AV69">
        <v>5.0000000000000001E-3</v>
      </c>
      <c r="BL69" t="s">
        <v>169</v>
      </c>
      <c r="BM69" s="18">
        <v>40420</v>
      </c>
      <c r="BN69" s="19">
        <v>0.34305555555555556</v>
      </c>
      <c r="BO69">
        <v>7.6528999999999998</v>
      </c>
      <c r="BP69">
        <v>7.7755000000000001</v>
      </c>
      <c r="BQ69">
        <v>7.1260000000000003</v>
      </c>
      <c r="BS69" t="s">
        <v>169</v>
      </c>
      <c r="BT69" s="18">
        <v>40324</v>
      </c>
      <c r="BU69" s="19">
        <v>0.66736111111111107</v>
      </c>
      <c r="BV69">
        <v>3.7400000000000003E-2</v>
      </c>
      <c r="BW69">
        <v>4.7E-2</v>
      </c>
      <c r="BX69">
        <v>4.2999999999999997E-2</v>
      </c>
      <c r="BZ69" t="s">
        <v>170</v>
      </c>
      <c r="CA69" s="18">
        <v>40283</v>
      </c>
      <c r="CB69" s="19">
        <v>0.67708333333333337</v>
      </c>
      <c r="CC69">
        <v>0.35</v>
      </c>
      <c r="CD69">
        <v>0.35</v>
      </c>
      <c r="CE69">
        <v>-3.5000000000000003E-2</v>
      </c>
      <c r="CG69" t="s">
        <v>169</v>
      </c>
      <c r="CH69" s="18">
        <v>40268</v>
      </c>
      <c r="CI69" s="19">
        <v>0.67152777777777772</v>
      </c>
      <c r="CJ69">
        <v>0.38479999999999998</v>
      </c>
      <c r="CK69">
        <v>0.39</v>
      </c>
      <c r="CL69">
        <v>-2.4245362661989844E-14</v>
      </c>
      <c r="CN69" t="s">
        <v>170</v>
      </c>
      <c r="CO69" s="18">
        <v>40297</v>
      </c>
      <c r="CP69" s="19">
        <v>0.90555555555555556</v>
      </c>
      <c r="CQ69">
        <v>5.6000000000000001E-2</v>
      </c>
      <c r="CR69">
        <v>5.6000000000000001E-2</v>
      </c>
      <c r="CS69">
        <v>0.111</v>
      </c>
      <c r="DP69" t="s">
        <v>168</v>
      </c>
      <c r="DQ69" s="18">
        <v>40295</v>
      </c>
      <c r="DR69" s="19">
        <v>0.67013888888888884</v>
      </c>
      <c r="DS69">
        <v>1.7999999999999999E-2</v>
      </c>
      <c r="DT69">
        <v>2.1000000000000001E-2</v>
      </c>
      <c r="DU69">
        <v>2.1000000000000001E-2</v>
      </c>
      <c r="DW69" t="s">
        <v>167</v>
      </c>
      <c r="DX69" s="18">
        <v>40353</v>
      </c>
      <c r="DY69" s="19">
        <v>0.66666666666666663</v>
      </c>
      <c r="DZ69">
        <v>0.49099999999999999</v>
      </c>
      <c r="EA69">
        <v>0.6</v>
      </c>
      <c r="EB69">
        <v>0.53800000000000003</v>
      </c>
      <c r="ED69" t="s">
        <v>166</v>
      </c>
      <c r="EE69" s="18">
        <v>40318</v>
      </c>
      <c r="EF69" s="19">
        <v>0.67291666666666672</v>
      </c>
      <c r="EG69">
        <v>2.9000000000000001E-2</v>
      </c>
      <c r="EH69">
        <v>7.4999999999999997E-2</v>
      </c>
      <c r="EI69">
        <v>7.5999999999999998E-2</v>
      </c>
      <c r="EK69" t="s">
        <v>169</v>
      </c>
      <c r="EL69" s="18">
        <v>40351</v>
      </c>
      <c r="EM69" s="19">
        <v>0.67013888888888884</v>
      </c>
      <c r="EN69">
        <v>0.31030000000000002</v>
      </c>
      <c r="EO69">
        <v>0.44</v>
      </c>
      <c r="EP69">
        <v>0.42699999999999999</v>
      </c>
      <c r="EY69" t="s">
        <v>170</v>
      </c>
      <c r="EZ69" s="18">
        <v>40287</v>
      </c>
      <c r="FA69" s="19">
        <v>0.27083333333333331</v>
      </c>
      <c r="FB69">
        <v>1.2137</v>
      </c>
      <c r="FC69">
        <v>1.18</v>
      </c>
      <c r="FD69">
        <v>1.1080000000000001</v>
      </c>
      <c r="FF69" t="s">
        <v>169</v>
      </c>
      <c r="FG69" s="18">
        <v>40379</v>
      </c>
      <c r="FH69" s="19">
        <v>0.25</v>
      </c>
      <c r="FI69">
        <v>0.98080000000000001</v>
      </c>
      <c r="FJ69">
        <v>0.99</v>
      </c>
      <c r="FK69">
        <v>0.74399999999999999</v>
      </c>
      <c r="FM69" t="s">
        <v>163</v>
      </c>
      <c r="FN69" s="18">
        <v>40829</v>
      </c>
      <c r="FO69" s="19">
        <v>0.2902777777777778</v>
      </c>
      <c r="FP69">
        <v>1.0376000000000001</v>
      </c>
      <c r="FQ69">
        <v>1.02</v>
      </c>
      <c r="FR69">
        <v>0.91600000000000004</v>
      </c>
      <c r="FT69" t="s">
        <v>168</v>
      </c>
      <c r="FU69" s="18">
        <v>40325</v>
      </c>
      <c r="FV69" s="19">
        <v>0.12569444444444444</v>
      </c>
      <c r="FW69">
        <v>0.68149999999999999</v>
      </c>
      <c r="FX69">
        <v>0.66649999999999998</v>
      </c>
      <c r="FY69">
        <v>0.66</v>
      </c>
      <c r="GA69" t="s">
        <v>170</v>
      </c>
      <c r="GB69" s="18">
        <v>40297</v>
      </c>
      <c r="GC69" s="19">
        <v>0.33680555555555558</v>
      </c>
      <c r="GD69">
        <v>1.3722000000000001</v>
      </c>
      <c r="GE69">
        <v>1.33</v>
      </c>
      <c r="GF69">
        <v>1.4059999999999999</v>
      </c>
    </row>
    <row r="70" spans="1:188" x14ac:dyDescent="0.3">
      <c r="A70" t="s">
        <v>170</v>
      </c>
      <c r="B70">
        <v>40203</v>
      </c>
      <c r="C70" s="19">
        <v>0.68958333333333333</v>
      </c>
      <c r="D70">
        <v>0.13109999999999999</v>
      </c>
      <c r="E70">
        <v>0.13109999999999999</v>
      </c>
      <c r="F70">
        <v>0.11700000000000001</v>
      </c>
      <c r="H70" t="s">
        <v>171</v>
      </c>
      <c r="I70" s="18">
        <v>40206</v>
      </c>
      <c r="J70" s="19">
        <v>0.67222222222222228</v>
      </c>
      <c r="K70">
        <v>4.2500000000000003E-2</v>
      </c>
      <c r="L70">
        <v>4.2500000000000003E-2</v>
      </c>
      <c r="M70">
        <v>3.5999999999999997E-2</v>
      </c>
      <c r="O70" t="s">
        <v>171</v>
      </c>
      <c r="P70" s="18">
        <v>40199</v>
      </c>
      <c r="R70">
        <v>0.15329999999999999</v>
      </c>
      <c r="S70">
        <v>0.15329999999999999</v>
      </c>
      <c r="T70">
        <v>0.14199999999999999</v>
      </c>
      <c r="AC70" t="s">
        <v>169</v>
      </c>
      <c r="AD70" s="18">
        <v>40206</v>
      </c>
      <c r="AE70" s="19">
        <v>0.67013888888888884</v>
      </c>
      <c r="AF70">
        <v>0.73799999999999999</v>
      </c>
      <c r="AG70">
        <v>0.74</v>
      </c>
      <c r="AH70">
        <v>0.58599999999999997</v>
      </c>
      <c r="AJ70" t="s">
        <v>170</v>
      </c>
      <c r="AK70" s="18">
        <v>40289</v>
      </c>
      <c r="AL70" s="19">
        <v>0.67013888888888884</v>
      </c>
      <c r="AM70">
        <v>8.3999999999999995E-3</v>
      </c>
      <c r="AN70">
        <v>8.3999999999999995E-3</v>
      </c>
      <c r="AO70">
        <v>8.0000000000000002E-3</v>
      </c>
      <c r="AQ70" t="s">
        <v>167</v>
      </c>
      <c r="AR70" s="18">
        <v>40226</v>
      </c>
      <c r="AS70" s="19">
        <v>0.68194444444444446</v>
      </c>
      <c r="AT70">
        <v>5.7000000000000002E-3</v>
      </c>
      <c r="AU70">
        <v>5.7999999999999996E-3</v>
      </c>
      <c r="AV70">
        <v>5.0000000000000001E-3</v>
      </c>
      <c r="BL70" t="s">
        <v>170</v>
      </c>
      <c r="BM70" s="18">
        <v>40295</v>
      </c>
      <c r="BN70" s="19">
        <v>0.75902777777777775</v>
      </c>
      <c r="BO70">
        <v>6.4194000000000004</v>
      </c>
      <c r="BP70">
        <v>6.5</v>
      </c>
      <c r="BQ70">
        <v>5.851</v>
      </c>
      <c r="BS70" t="s">
        <v>170</v>
      </c>
      <c r="BT70" s="18">
        <v>40233</v>
      </c>
      <c r="BU70" t="s">
        <v>164</v>
      </c>
      <c r="BV70">
        <v>2.6200000000000001E-2</v>
      </c>
      <c r="BW70">
        <v>3.5999999999999997E-2</v>
      </c>
      <c r="BX70">
        <v>0.03</v>
      </c>
      <c r="BZ70" t="s">
        <v>171</v>
      </c>
      <c r="CA70" s="18">
        <v>40199</v>
      </c>
      <c r="CB70" s="19">
        <v>0.67708333333333337</v>
      </c>
      <c r="CC70">
        <v>0.50600000000000001</v>
      </c>
      <c r="CD70">
        <v>-0.05</v>
      </c>
      <c r="CE70">
        <v>5.7000000000000002E-2</v>
      </c>
      <c r="CG70" t="s">
        <v>170</v>
      </c>
      <c r="CH70" s="18">
        <v>40169</v>
      </c>
      <c r="CI70" s="19">
        <v>0.67222222222222228</v>
      </c>
      <c r="CJ70">
        <v>0.2281</v>
      </c>
      <c r="CK70">
        <v>0.2029</v>
      </c>
      <c r="CL70">
        <v>-2.4245362661989844E-14</v>
      </c>
      <c r="CN70" t="s">
        <v>171</v>
      </c>
      <c r="CO70" s="18">
        <v>40212</v>
      </c>
      <c r="CP70" s="19">
        <v>0.95</v>
      </c>
      <c r="CQ70">
        <v>0.16600000000000001</v>
      </c>
      <c r="CR70">
        <v>0.16600000000000001</v>
      </c>
      <c r="CS70">
        <v>0.156</v>
      </c>
      <c r="DP70" t="s">
        <v>169</v>
      </c>
      <c r="DQ70" s="18">
        <v>40204</v>
      </c>
      <c r="DR70" s="19">
        <v>0.67013888888888884</v>
      </c>
      <c r="DS70">
        <v>1.9E-2</v>
      </c>
      <c r="DT70">
        <v>2.1999999999999999E-2</v>
      </c>
      <c r="DU70">
        <v>1.7000000000000001E-2</v>
      </c>
      <c r="DW70" t="s">
        <v>168</v>
      </c>
      <c r="DX70" s="18">
        <v>40262</v>
      </c>
      <c r="DY70" s="19">
        <v>0.6694444444444444</v>
      </c>
      <c r="DZ70">
        <v>0.27860000000000001</v>
      </c>
      <c r="EA70">
        <v>0.38</v>
      </c>
      <c r="EB70">
        <v>0.375</v>
      </c>
      <c r="ED70" t="s">
        <v>167</v>
      </c>
      <c r="EE70" s="18">
        <v>40233</v>
      </c>
      <c r="EF70" s="19">
        <v>0.67013888888888884</v>
      </c>
      <c r="EG70">
        <v>3.3099999999999997E-2</v>
      </c>
      <c r="EH70">
        <v>7.2499999999999995E-2</v>
      </c>
      <c r="EI70">
        <v>6.2E-2</v>
      </c>
      <c r="EK70" t="s">
        <v>170</v>
      </c>
      <c r="EL70" s="18">
        <v>40260</v>
      </c>
      <c r="EM70" s="19">
        <v>0.67013888888888884</v>
      </c>
      <c r="EN70">
        <v>0.26069999999999999</v>
      </c>
      <c r="EO70">
        <v>0.4</v>
      </c>
      <c r="EP70">
        <v>0.36899999999999999</v>
      </c>
      <c r="EY70" t="s">
        <v>171</v>
      </c>
      <c r="EZ70" s="18">
        <v>40206</v>
      </c>
      <c r="FA70" s="19">
        <v>0.27083333333333331</v>
      </c>
      <c r="FB70">
        <v>0.98340000000000005</v>
      </c>
      <c r="FC70">
        <v>0.91</v>
      </c>
      <c r="FD70">
        <v>0.91400000000000003</v>
      </c>
      <c r="FF70" t="s">
        <v>170</v>
      </c>
      <c r="FG70" s="18">
        <v>40288</v>
      </c>
      <c r="FH70" s="19">
        <v>0.25</v>
      </c>
      <c r="FI70">
        <v>1.0085999999999999</v>
      </c>
      <c r="FJ70">
        <v>1.03</v>
      </c>
      <c r="FK70">
        <v>0.68300000000000005</v>
      </c>
      <c r="FM70" t="s">
        <v>165</v>
      </c>
      <c r="FN70" s="18">
        <v>40738</v>
      </c>
      <c r="FO70" s="19">
        <v>0.29097222222222224</v>
      </c>
      <c r="FP70">
        <v>1.5690999999999999</v>
      </c>
      <c r="FQ70">
        <v>1.27</v>
      </c>
      <c r="FR70">
        <v>1.206</v>
      </c>
      <c r="FT70" t="s">
        <v>169</v>
      </c>
      <c r="FU70" s="18">
        <v>40240</v>
      </c>
      <c r="FV70" s="19">
        <v>0.12569444444444444</v>
      </c>
      <c r="FW70">
        <v>0.70199999999999996</v>
      </c>
      <c r="FX70">
        <v>0.70099999999999996</v>
      </c>
      <c r="FY70">
        <v>0.71599999999999997</v>
      </c>
      <c r="GA70" t="s">
        <v>171</v>
      </c>
      <c r="GB70" s="18">
        <v>40210</v>
      </c>
      <c r="GC70" s="19">
        <v>0.33611111111111114</v>
      </c>
      <c r="GD70">
        <v>1.27</v>
      </c>
      <c r="GE70">
        <v>1.27</v>
      </c>
      <c r="GF70">
        <v>1.1879999999999999</v>
      </c>
    </row>
    <row r="71" spans="1:188" x14ac:dyDescent="0.3">
      <c r="A71" t="s">
        <v>171</v>
      </c>
      <c r="B71">
        <v>40105</v>
      </c>
      <c r="C71" s="19">
        <v>0.6875</v>
      </c>
      <c r="D71">
        <v>9.8900000000000002E-2</v>
      </c>
      <c r="E71">
        <v>6.5000000000000002E-2</v>
      </c>
      <c r="F71">
        <v>5.0999999999999997E-2</v>
      </c>
      <c r="H71" t="s">
        <v>172</v>
      </c>
      <c r="I71" s="18">
        <v>40108</v>
      </c>
      <c r="J71" s="19">
        <v>0.66736111111111107</v>
      </c>
      <c r="K71">
        <v>2.2499999999999999E-2</v>
      </c>
      <c r="L71">
        <v>2.2499999999999999E-2</v>
      </c>
      <c r="M71">
        <v>1.7000000000000001E-2</v>
      </c>
      <c r="O71" t="s">
        <v>172</v>
      </c>
      <c r="P71" s="18">
        <v>40101</v>
      </c>
      <c r="R71">
        <v>0.1283</v>
      </c>
      <c r="S71">
        <v>0.1283</v>
      </c>
      <c r="T71">
        <v>0.11700000000000001</v>
      </c>
      <c r="AC71" t="s">
        <v>170</v>
      </c>
      <c r="AD71" s="18">
        <v>40109</v>
      </c>
      <c r="AE71" s="19">
        <v>0.35416666666666669</v>
      </c>
      <c r="AF71">
        <v>0.3962</v>
      </c>
      <c r="AG71">
        <v>0.4</v>
      </c>
      <c r="AH71">
        <v>0.32</v>
      </c>
      <c r="AJ71" t="s">
        <v>171</v>
      </c>
      <c r="AK71" s="18">
        <v>40205</v>
      </c>
      <c r="AL71" s="19">
        <v>0.67013888888888884</v>
      </c>
      <c r="AM71">
        <v>8.0000000000000002E-3</v>
      </c>
      <c r="AN71">
        <v>8.0000000000000002E-3</v>
      </c>
      <c r="AO71">
        <v>7.0000000000000001E-3</v>
      </c>
      <c r="AQ71" t="s">
        <v>168</v>
      </c>
      <c r="AR71" s="18">
        <v>40122</v>
      </c>
      <c r="AS71" s="19">
        <v>0.68263888888888891</v>
      </c>
      <c r="AT71">
        <v>3.3999999999999998E-3</v>
      </c>
      <c r="AU71">
        <v>4.7999999999999996E-3</v>
      </c>
      <c r="AV71">
        <v>3.0000000000000001E-3</v>
      </c>
      <c r="BL71" t="s">
        <v>267</v>
      </c>
      <c r="BM71" s="18">
        <v>40232</v>
      </c>
      <c r="BN71" s="19">
        <v>0.47847222222222224</v>
      </c>
      <c r="BO71">
        <v>17.1843</v>
      </c>
      <c r="BP71">
        <v>17.2</v>
      </c>
      <c r="BQ71">
        <v>16.907</v>
      </c>
      <c r="BS71" t="s">
        <v>171</v>
      </c>
      <c r="BT71" s="18">
        <v>40150</v>
      </c>
      <c r="BU71" t="s">
        <v>164</v>
      </c>
      <c r="BV71">
        <v>2.0400000000000001E-2</v>
      </c>
      <c r="BW71">
        <v>2.9000000000000001E-2</v>
      </c>
      <c r="BX71">
        <v>2.5000000000000001E-2</v>
      </c>
      <c r="BZ71" t="s">
        <v>172</v>
      </c>
      <c r="CA71" s="18">
        <v>40101</v>
      </c>
      <c r="CB71" s="19">
        <v>0.67708333333333337</v>
      </c>
      <c r="CC71">
        <v>-0.27789999999999998</v>
      </c>
      <c r="CD71">
        <v>-0.26</v>
      </c>
      <c r="CE71">
        <v>-0.442</v>
      </c>
      <c r="CG71" t="s">
        <v>171</v>
      </c>
      <c r="CH71" s="18">
        <v>40085</v>
      </c>
      <c r="CI71" s="19">
        <v>0.67083333333333328</v>
      </c>
      <c r="CJ71">
        <v>-0.1462</v>
      </c>
      <c r="CK71">
        <v>-0.15</v>
      </c>
      <c r="CL71">
        <v>-2.4245362661989844E-14</v>
      </c>
      <c r="CN71" t="s">
        <v>172</v>
      </c>
      <c r="CO71" s="18">
        <v>40115</v>
      </c>
      <c r="CP71" s="19">
        <v>0.85624999999999996</v>
      </c>
      <c r="CQ71">
        <v>0.17299999999999999</v>
      </c>
      <c r="CR71">
        <v>0.17299999999999999</v>
      </c>
      <c r="CS71">
        <v>9.6000000000000002E-2</v>
      </c>
      <c r="DP71" t="s">
        <v>170</v>
      </c>
      <c r="DQ71" s="18">
        <v>40113</v>
      </c>
      <c r="DR71" s="19">
        <v>0.67013888888888884</v>
      </c>
      <c r="DS71">
        <v>1.18E-2</v>
      </c>
      <c r="DT71">
        <v>1.7000000000000001E-2</v>
      </c>
      <c r="DU71">
        <v>1.2E-2</v>
      </c>
      <c r="DW71" t="s">
        <v>169</v>
      </c>
      <c r="DX71" s="18">
        <v>40164</v>
      </c>
      <c r="DY71" s="19">
        <v>0.66736111111111107</v>
      </c>
      <c r="DZ71">
        <v>0.30819999999999997</v>
      </c>
      <c r="EA71">
        <v>0.39</v>
      </c>
      <c r="EB71">
        <v>0.35799999999999998</v>
      </c>
      <c r="ED71" t="s">
        <v>168</v>
      </c>
      <c r="EE71" s="18">
        <v>40134</v>
      </c>
      <c r="EF71" s="19">
        <v>0.67013888888888884</v>
      </c>
      <c r="EG71">
        <v>3.7900000000000003E-2</v>
      </c>
      <c r="EH71">
        <v>7.0000000000000007E-2</v>
      </c>
      <c r="EI71">
        <v>6.9000000000000006E-2</v>
      </c>
      <c r="EK71" t="s">
        <v>171</v>
      </c>
      <c r="EL71" s="18">
        <v>40162</v>
      </c>
      <c r="EM71" s="19">
        <v>0.67013888888888884</v>
      </c>
      <c r="EN71">
        <v>3.7499999999999999E-2</v>
      </c>
      <c r="EO71">
        <v>0.39</v>
      </c>
      <c r="EP71">
        <v>0.373</v>
      </c>
      <c r="EY71" t="s">
        <v>172</v>
      </c>
      <c r="EZ71" s="18">
        <v>40107</v>
      </c>
      <c r="FA71" s="19">
        <v>0.27083333333333331</v>
      </c>
      <c r="FB71">
        <v>1.1673</v>
      </c>
      <c r="FC71">
        <v>1.2</v>
      </c>
      <c r="FD71">
        <v>1.0189999999999999</v>
      </c>
      <c r="FF71" t="s">
        <v>171</v>
      </c>
      <c r="FG71" s="18">
        <v>40199</v>
      </c>
      <c r="FH71" s="19">
        <v>0.25</v>
      </c>
      <c r="FI71">
        <v>0.81</v>
      </c>
      <c r="FJ71">
        <v>0.81</v>
      </c>
      <c r="FK71">
        <v>0.73</v>
      </c>
      <c r="FM71" t="s">
        <v>166</v>
      </c>
      <c r="FN71" s="18">
        <v>40646</v>
      </c>
      <c r="FO71" s="19">
        <v>0.29097222222222224</v>
      </c>
      <c r="FP71">
        <v>1.4719</v>
      </c>
      <c r="FQ71">
        <v>1.28</v>
      </c>
      <c r="FR71">
        <v>1.1539999999999999</v>
      </c>
      <c r="FT71" t="s">
        <v>170</v>
      </c>
      <c r="FU71" s="18">
        <v>40157</v>
      </c>
      <c r="FV71" s="19">
        <v>0.12569444444444444</v>
      </c>
      <c r="FW71">
        <v>0.6</v>
      </c>
      <c r="FX71">
        <v>0.60089999999999999</v>
      </c>
      <c r="FY71">
        <v>0.59</v>
      </c>
      <c r="GA71" t="s">
        <v>172</v>
      </c>
      <c r="GB71" s="18">
        <v>40115</v>
      </c>
      <c r="GC71" s="19">
        <v>0.33680555555555558</v>
      </c>
      <c r="GD71">
        <v>0.98</v>
      </c>
      <c r="GE71">
        <v>0.98</v>
      </c>
      <c r="GF71">
        <v>1.018</v>
      </c>
    </row>
    <row r="72" spans="1:188" x14ac:dyDescent="0.3">
      <c r="A72" t="s">
        <v>172</v>
      </c>
      <c r="B72">
        <v>40015</v>
      </c>
      <c r="C72" s="19">
        <v>0.6875</v>
      </c>
      <c r="D72">
        <v>7.1800000000000003E-2</v>
      </c>
      <c r="E72">
        <v>4.8300000000000003E-2</v>
      </c>
      <c r="F72">
        <v>4.2999999999999997E-2</v>
      </c>
      <c r="H72" t="s">
        <v>173</v>
      </c>
      <c r="I72" s="18">
        <v>40017</v>
      </c>
      <c r="J72" s="19">
        <v>0.67013888888888884</v>
      </c>
      <c r="K72">
        <v>1.6E-2</v>
      </c>
      <c r="L72">
        <v>1.6E-2</v>
      </c>
      <c r="M72">
        <v>1.6E-2</v>
      </c>
      <c r="O72" t="s">
        <v>173</v>
      </c>
      <c r="P72" s="18">
        <v>40010</v>
      </c>
      <c r="Q72" s="19">
        <v>0.66736111111111107</v>
      </c>
      <c r="R72">
        <v>0.11650000000000001</v>
      </c>
      <c r="S72">
        <v>0.11650000000000001</v>
      </c>
      <c r="T72">
        <v>0.109</v>
      </c>
      <c r="AC72" t="s">
        <v>171</v>
      </c>
      <c r="AD72" s="18">
        <v>40017</v>
      </c>
      <c r="AE72" s="19">
        <v>0.67361111111111116</v>
      </c>
      <c r="AF72">
        <v>0.37009999999999998</v>
      </c>
      <c r="AG72">
        <v>0.37</v>
      </c>
      <c r="AH72">
        <v>0.36899999999999999</v>
      </c>
      <c r="AJ72" t="s">
        <v>172</v>
      </c>
      <c r="AK72" s="18">
        <v>40108</v>
      </c>
      <c r="AL72" s="19">
        <v>0.67291666666666672</v>
      </c>
      <c r="AM72">
        <v>7.4000000000000003E-3</v>
      </c>
      <c r="AN72">
        <v>7.4000000000000003E-3</v>
      </c>
      <c r="AO72">
        <v>7.0000000000000001E-3</v>
      </c>
      <c r="AQ72" t="s">
        <v>169</v>
      </c>
      <c r="AR72" s="18">
        <v>40031</v>
      </c>
      <c r="AS72" s="19">
        <v>0.68333333333333335</v>
      </c>
      <c r="AT72">
        <v>5.0000000000000001E-4</v>
      </c>
      <c r="AU72">
        <v>1.8E-3</v>
      </c>
      <c r="AV72">
        <v>0</v>
      </c>
      <c r="BL72" t="s">
        <v>172</v>
      </c>
      <c r="BM72" s="18">
        <v>40116</v>
      </c>
      <c r="BN72" s="19">
        <v>0.64652777777777781</v>
      </c>
      <c r="BO72">
        <v>5.9363000000000001</v>
      </c>
      <c r="BP72">
        <v>5.93</v>
      </c>
      <c r="BQ72">
        <v>5.8959999999999999</v>
      </c>
      <c r="BS72" t="s">
        <v>172</v>
      </c>
      <c r="BT72" s="18">
        <v>40059</v>
      </c>
      <c r="BU72" s="19">
        <v>0.66666666666666663</v>
      </c>
      <c r="BV72">
        <v>6.1000000000000004E-3</v>
      </c>
      <c r="BW72">
        <v>-2.4245362661989844E-14</v>
      </c>
      <c r="BX72">
        <v>-2.4245362661989844E-14</v>
      </c>
      <c r="BZ72" t="s">
        <v>173</v>
      </c>
      <c r="CA72" s="18">
        <v>40015</v>
      </c>
      <c r="CB72" s="19">
        <v>0.67708333333333337</v>
      </c>
      <c r="CC72">
        <v>-0.50219999999999998</v>
      </c>
      <c r="CD72">
        <v>-0.56999999999999995</v>
      </c>
      <c r="CE72">
        <v>-0.46899999999999997</v>
      </c>
      <c r="CG72" t="s">
        <v>172</v>
      </c>
      <c r="CH72" s="18">
        <v>39989</v>
      </c>
      <c r="CI72" s="19">
        <v>0.67083333333333328</v>
      </c>
      <c r="CJ72">
        <v>-0.31259999999999999</v>
      </c>
      <c r="CK72">
        <v>-0.56999999999999995</v>
      </c>
      <c r="CL72">
        <v>-0.41799999999999998</v>
      </c>
      <c r="CN72" t="s">
        <v>173</v>
      </c>
      <c r="CO72" s="18">
        <v>40024</v>
      </c>
      <c r="CP72" s="19">
        <v>0.9291666666666667</v>
      </c>
      <c r="CQ72">
        <v>8.1000000000000003E-2</v>
      </c>
      <c r="CR72">
        <v>8.1000000000000003E-2</v>
      </c>
      <c r="CS72">
        <v>6.2E-2</v>
      </c>
      <c r="DP72" t="s">
        <v>171</v>
      </c>
      <c r="DQ72" s="18">
        <v>40030</v>
      </c>
      <c r="DR72" s="19">
        <v>0.67013888888888884</v>
      </c>
      <c r="DS72">
        <v>6.0000000000000001E-3</v>
      </c>
      <c r="DT72">
        <v>0.01</v>
      </c>
      <c r="DU72">
        <v>8.9999999999999993E-3</v>
      </c>
      <c r="DW72" t="s">
        <v>170</v>
      </c>
      <c r="DX72" s="18">
        <v>40072</v>
      </c>
      <c r="DY72" s="19">
        <v>0.66666666666666663</v>
      </c>
      <c r="DZ72">
        <v>0.22770000000000001</v>
      </c>
      <c r="EA72">
        <v>0.3</v>
      </c>
      <c r="EB72">
        <v>0.30099999999999999</v>
      </c>
      <c r="ED72" t="s">
        <v>169</v>
      </c>
      <c r="EE72" s="18">
        <v>40045</v>
      </c>
      <c r="EF72" s="19">
        <v>0.67013888888888884</v>
      </c>
      <c r="EG72">
        <v>4.0099999999999997E-2</v>
      </c>
      <c r="EH72">
        <v>7.2499999999999995E-2</v>
      </c>
      <c r="EI72">
        <v>0.06</v>
      </c>
      <c r="EK72" t="s">
        <v>172</v>
      </c>
      <c r="EL72" s="18">
        <v>40071</v>
      </c>
      <c r="EM72" s="19">
        <v>0.67083333333333328</v>
      </c>
      <c r="EN72">
        <v>0.25790000000000002</v>
      </c>
      <c r="EO72">
        <v>0.33</v>
      </c>
      <c r="EP72">
        <v>0.33400000000000002</v>
      </c>
      <c r="EY72" t="s">
        <v>173</v>
      </c>
      <c r="EZ72" s="18">
        <v>40016</v>
      </c>
      <c r="FA72" s="19">
        <v>0.27083333333333331</v>
      </c>
      <c r="FB72">
        <v>1.1109</v>
      </c>
      <c r="FC72">
        <v>1.1200000000000001</v>
      </c>
      <c r="FD72">
        <v>1.024</v>
      </c>
      <c r="FF72" t="s">
        <v>172</v>
      </c>
      <c r="FG72" s="18">
        <v>40106</v>
      </c>
      <c r="FH72" s="19">
        <v>0.25</v>
      </c>
      <c r="FI72">
        <v>0.89</v>
      </c>
      <c r="FJ72">
        <v>0.89</v>
      </c>
      <c r="FK72">
        <v>0.76200000000000001</v>
      </c>
      <c r="FM72" t="s">
        <v>167</v>
      </c>
      <c r="FN72" s="18">
        <v>40557</v>
      </c>
      <c r="FO72" s="19">
        <v>0.29097222222222224</v>
      </c>
      <c r="FP72">
        <v>1.4581</v>
      </c>
      <c r="FQ72">
        <v>1.4476</v>
      </c>
      <c r="FR72">
        <v>0.999</v>
      </c>
      <c r="FT72" t="s">
        <v>171</v>
      </c>
      <c r="FU72" s="18">
        <v>40093</v>
      </c>
      <c r="FV72" s="19">
        <v>0.125</v>
      </c>
      <c r="FW72">
        <v>0.88380000000000003</v>
      </c>
      <c r="FX72">
        <v>0.82969999999999999</v>
      </c>
      <c r="FY72">
        <v>0.76500000000000001</v>
      </c>
      <c r="GA72" t="s">
        <v>173</v>
      </c>
      <c r="GB72" s="18">
        <v>40024</v>
      </c>
      <c r="GC72" s="19">
        <v>0.33611111111111114</v>
      </c>
      <c r="GD72">
        <v>0.8387</v>
      </c>
      <c r="GE72">
        <v>0.84</v>
      </c>
      <c r="GF72">
        <v>0.99299999999999999</v>
      </c>
    </row>
    <row r="73" spans="1:188" x14ac:dyDescent="0.3">
      <c r="A73" t="s">
        <v>173</v>
      </c>
      <c r="B73">
        <v>39925</v>
      </c>
      <c r="C73" s="19">
        <v>0.6875</v>
      </c>
      <c r="D73">
        <v>6.3899999999999998E-2</v>
      </c>
      <c r="E73">
        <v>4.7699999999999999E-2</v>
      </c>
      <c r="F73">
        <v>4.1000000000000002E-2</v>
      </c>
      <c r="H73" t="s">
        <v>174</v>
      </c>
      <c r="I73" s="18">
        <v>39926</v>
      </c>
      <c r="J73" s="19">
        <v>0.6694444444444444</v>
      </c>
      <c r="K73">
        <v>2.0500000000000001E-2</v>
      </c>
      <c r="L73">
        <v>2.0500000000000001E-2</v>
      </c>
      <c r="M73">
        <v>1.6E-2</v>
      </c>
      <c r="O73" t="s">
        <v>174</v>
      </c>
      <c r="P73" s="18">
        <v>39919</v>
      </c>
      <c r="Q73" s="19">
        <v>0.66736111111111107</v>
      </c>
      <c r="R73">
        <v>0.1123</v>
      </c>
      <c r="S73">
        <v>0.1123</v>
      </c>
      <c r="T73">
        <v>0.104</v>
      </c>
      <c r="AC73" t="s">
        <v>172</v>
      </c>
      <c r="AD73" s="18">
        <v>39926</v>
      </c>
      <c r="AE73" s="19">
        <v>0.67361111111111116</v>
      </c>
      <c r="AF73">
        <v>0.4214</v>
      </c>
      <c r="AG73">
        <v>0.39</v>
      </c>
      <c r="AH73">
        <v>0.38700000000000001</v>
      </c>
      <c r="AJ73" t="s">
        <v>173</v>
      </c>
      <c r="AK73" s="18">
        <v>40017</v>
      </c>
      <c r="AL73" s="19">
        <v>0.67013888888888884</v>
      </c>
      <c r="AM73">
        <v>7.7000000000000002E-3</v>
      </c>
      <c r="AN73">
        <v>7.7000000000000002E-3</v>
      </c>
      <c r="AO73">
        <v>7.0000000000000001E-3</v>
      </c>
      <c r="AQ73" t="s">
        <v>170</v>
      </c>
      <c r="AR73" s="18">
        <v>39940</v>
      </c>
      <c r="AS73" s="19">
        <v>0.68055555555555558</v>
      </c>
      <c r="AT73">
        <v>-3.2000000000000002E-3</v>
      </c>
      <c r="AU73">
        <v>-2.3E-3</v>
      </c>
      <c r="AV73">
        <v>-2E-3</v>
      </c>
      <c r="BL73" t="s">
        <v>173</v>
      </c>
      <c r="BM73" s="18">
        <v>40024</v>
      </c>
      <c r="BN73" s="19">
        <v>0.69097222222222221</v>
      </c>
      <c r="BO73">
        <v>4.6660000000000004</v>
      </c>
      <c r="BP73">
        <v>4.7214999999999998</v>
      </c>
      <c r="BQ73">
        <v>4.1900000000000004</v>
      </c>
      <c r="BS73" t="s">
        <v>173</v>
      </c>
      <c r="BT73" s="18">
        <v>39968</v>
      </c>
      <c r="BU73" s="19">
        <v>0.66666666666666663</v>
      </c>
      <c r="BV73">
        <v>-1.1299999999999999E-2</v>
      </c>
      <c r="BW73">
        <v>-2.4245362661989844E-14</v>
      </c>
      <c r="BX73">
        <v>-2.4245362661989844E-14</v>
      </c>
      <c r="BZ73" t="s">
        <v>174</v>
      </c>
      <c r="CA73" s="18">
        <v>39924</v>
      </c>
      <c r="CB73" s="19">
        <v>0.67708333333333337</v>
      </c>
      <c r="CC73">
        <v>-0.74350000000000005</v>
      </c>
      <c r="CD73">
        <v>-0.62</v>
      </c>
      <c r="CE73">
        <v>-0.60099999999999998</v>
      </c>
      <c r="CG73" t="s">
        <v>173</v>
      </c>
      <c r="CH73" s="18">
        <v>39905</v>
      </c>
      <c r="CI73" s="19">
        <v>0.67222222222222228</v>
      </c>
      <c r="CJ73">
        <v>-0.80249999999999999</v>
      </c>
      <c r="CK73">
        <v>-0.81</v>
      </c>
      <c r="CL73">
        <v>-0.628</v>
      </c>
      <c r="CN73" t="s">
        <v>174</v>
      </c>
      <c r="CO73" s="18">
        <v>39939</v>
      </c>
      <c r="CP73" s="19">
        <v>0.29166666666666669</v>
      </c>
      <c r="CQ73">
        <v>7.0999999999999994E-2</v>
      </c>
      <c r="CR73">
        <v>7.0999999999999994E-2</v>
      </c>
      <c r="CS73">
        <v>7.2999999999999995E-2</v>
      </c>
      <c r="DP73" t="s">
        <v>172</v>
      </c>
      <c r="DQ73" s="18">
        <v>39932</v>
      </c>
      <c r="DR73" s="19">
        <v>0.67013888888888884</v>
      </c>
      <c r="DS73">
        <v>3.0000000000000001E-3</v>
      </c>
      <c r="DT73">
        <v>6.0000000000000001E-3</v>
      </c>
      <c r="DU73">
        <v>8.9999999999999993E-3</v>
      </c>
      <c r="DW73" t="s">
        <v>171</v>
      </c>
      <c r="DX73" s="18">
        <v>39987</v>
      </c>
      <c r="DY73" s="19">
        <v>0.66666666666666663</v>
      </c>
      <c r="DZ73">
        <v>0.39100000000000001</v>
      </c>
      <c r="EA73">
        <v>0.46</v>
      </c>
      <c r="EB73">
        <v>0.44</v>
      </c>
      <c r="ED73" t="s">
        <v>170</v>
      </c>
      <c r="EE73" s="18">
        <v>39954</v>
      </c>
      <c r="EF73" s="19">
        <v>0.67152777777777772</v>
      </c>
      <c r="EG73">
        <v>3.73E-2</v>
      </c>
      <c r="EH73">
        <v>7.0000000000000007E-2</v>
      </c>
      <c r="EI73">
        <v>5.8999999999999997E-2</v>
      </c>
      <c r="EK73" t="s">
        <v>173</v>
      </c>
      <c r="EL73" s="18">
        <v>39980</v>
      </c>
      <c r="EM73" s="19">
        <v>0.67013888888888884</v>
      </c>
      <c r="EN73">
        <v>0.24079999999999999</v>
      </c>
      <c r="EO73">
        <v>0.35</v>
      </c>
      <c r="EP73">
        <v>0.34599999999999997</v>
      </c>
      <c r="EY73" t="s">
        <v>174</v>
      </c>
      <c r="EZ73" s="18">
        <v>39923</v>
      </c>
      <c r="FA73" s="19">
        <v>0.27083333333333331</v>
      </c>
      <c r="FB73">
        <v>1.1749000000000001</v>
      </c>
      <c r="FC73">
        <v>1.2</v>
      </c>
      <c r="FD73">
        <v>0.99299999999999999</v>
      </c>
      <c r="FF73" t="s">
        <v>173</v>
      </c>
      <c r="FG73" s="18">
        <v>40015</v>
      </c>
      <c r="FH73" s="19">
        <v>0.25</v>
      </c>
      <c r="FI73">
        <v>0.72829999999999995</v>
      </c>
      <c r="FJ73">
        <v>0.73</v>
      </c>
      <c r="FK73">
        <v>0.70199999999999996</v>
      </c>
      <c r="FM73" t="s">
        <v>168</v>
      </c>
      <c r="FN73" s="18">
        <v>40464</v>
      </c>
      <c r="FO73" s="19">
        <v>0.2902777777777778</v>
      </c>
      <c r="FP73">
        <v>1.3785000000000001</v>
      </c>
      <c r="FQ73">
        <v>1.2923</v>
      </c>
      <c r="FR73">
        <v>0.88400000000000001</v>
      </c>
      <c r="FT73" t="s">
        <v>172</v>
      </c>
      <c r="FU73" s="18">
        <v>39961</v>
      </c>
      <c r="FV73" s="19">
        <v>0.12569444444444444</v>
      </c>
      <c r="FW73">
        <v>0.49180000000000001</v>
      </c>
      <c r="FX73">
        <v>0.53349999999999997</v>
      </c>
      <c r="FY73">
        <v>0.53700000000000003</v>
      </c>
      <c r="GA73" t="s">
        <v>174</v>
      </c>
      <c r="GB73" s="18">
        <v>39933</v>
      </c>
      <c r="GC73" s="19">
        <v>0.33611111111111114</v>
      </c>
      <c r="GD73">
        <v>0.92</v>
      </c>
      <c r="GE73">
        <v>0.92</v>
      </c>
      <c r="GF73">
        <v>0.94799999999999995</v>
      </c>
    </row>
    <row r="74" spans="1:188" x14ac:dyDescent="0.3">
      <c r="A74" t="s">
        <v>174</v>
      </c>
      <c r="B74">
        <v>39834</v>
      </c>
      <c r="C74" s="19">
        <v>0.6875</v>
      </c>
      <c r="D74">
        <v>8.9300000000000004E-2</v>
      </c>
      <c r="E74">
        <v>6.3600000000000004E-2</v>
      </c>
      <c r="F74">
        <v>5.1999999999999998E-2</v>
      </c>
      <c r="H74" t="s">
        <v>175</v>
      </c>
      <c r="I74" s="18">
        <v>39842</v>
      </c>
      <c r="J74" s="19">
        <v>0.67361111111111116</v>
      </c>
      <c r="K74">
        <v>2.5999999999999999E-2</v>
      </c>
      <c r="L74">
        <v>2.5999999999999999E-2</v>
      </c>
      <c r="M74">
        <v>1.9E-2</v>
      </c>
      <c r="O74" t="s">
        <v>175</v>
      </c>
      <c r="P74" s="18">
        <v>39835</v>
      </c>
      <c r="Q74" s="19">
        <v>0.66736111111111107</v>
      </c>
      <c r="R74">
        <v>3.0300000000000001E-2</v>
      </c>
      <c r="S74">
        <v>3.0300000000000001E-2</v>
      </c>
      <c r="T74">
        <v>0.105</v>
      </c>
      <c r="AC74" t="s">
        <v>173</v>
      </c>
      <c r="AD74" s="18">
        <v>39835</v>
      </c>
      <c r="AE74" s="19">
        <v>0.375</v>
      </c>
      <c r="AF74">
        <v>0.46820000000000001</v>
      </c>
      <c r="AG74">
        <v>0.47</v>
      </c>
      <c r="AH74">
        <v>0.49199999999999999</v>
      </c>
      <c r="AJ74" t="s">
        <v>174</v>
      </c>
      <c r="AK74" s="18">
        <v>39926</v>
      </c>
      <c r="AL74" s="19">
        <v>0.67013888888888884</v>
      </c>
      <c r="AM74">
        <v>5.3E-3</v>
      </c>
      <c r="AN74">
        <v>5.3E-3</v>
      </c>
      <c r="AO74">
        <v>5.0000000000000001E-3</v>
      </c>
      <c r="AQ74" t="s">
        <v>171</v>
      </c>
      <c r="AR74" s="18">
        <v>39854</v>
      </c>
      <c r="AS74" s="19">
        <v>0.68055555555555558</v>
      </c>
      <c r="AT74">
        <v>-6.7000000000000002E-3</v>
      </c>
      <c r="AU74">
        <v>-4.4999999999999997E-3</v>
      </c>
      <c r="AV74">
        <v>-2E-3</v>
      </c>
      <c r="BL74" t="s">
        <v>174</v>
      </c>
      <c r="BM74" s="18">
        <v>39934</v>
      </c>
      <c r="BN74" s="19">
        <v>0.38611111111111113</v>
      </c>
      <c r="BO74">
        <v>0.40889999999999999</v>
      </c>
      <c r="BP74">
        <v>0.29849999999999999</v>
      </c>
      <c r="BQ74">
        <v>-5.8000000000000003E-2</v>
      </c>
      <c r="BS74" t="s">
        <v>174</v>
      </c>
      <c r="BT74" s="18">
        <v>39869</v>
      </c>
      <c r="BU74" s="19">
        <v>0.66666666666666663</v>
      </c>
      <c r="BV74">
        <v>7.4999999999999997E-3</v>
      </c>
      <c r="BW74">
        <v>-2.4245362661989844E-14</v>
      </c>
      <c r="BX74">
        <v>-2.4245362661989844E-14</v>
      </c>
      <c r="BZ74" t="s">
        <v>175</v>
      </c>
      <c r="CA74" s="18">
        <v>39835</v>
      </c>
      <c r="CB74" s="19">
        <v>0.67708333333333337</v>
      </c>
      <c r="CC74">
        <v>-1.28</v>
      </c>
      <c r="CD74">
        <v>-0.69</v>
      </c>
      <c r="CE74">
        <v>-0.50900000000000001</v>
      </c>
      <c r="CG74" t="s">
        <v>174</v>
      </c>
      <c r="CH74" s="18">
        <v>39805</v>
      </c>
      <c r="CI74" s="19">
        <v>0.67291666666666672</v>
      </c>
      <c r="CJ74">
        <v>-1.0141</v>
      </c>
      <c r="CK74">
        <v>-0.72</v>
      </c>
      <c r="CL74">
        <v>-0.45700000000000002</v>
      </c>
      <c r="CN74" t="s">
        <v>175</v>
      </c>
      <c r="CO74" s="18">
        <v>39846</v>
      </c>
      <c r="CP74" s="19">
        <v>0.29166666666666669</v>
      </c>
      <c r="CQ74">
        <v>0.113</v>
      </c>
      <c r="CR74">
        <v>0.113</v>
      </c>
      <c r="CS74">
        <v>9.4E-2</v>
      </c>
      <c r="DP74" t="s">
        <v>173</v>
      </c>
      <c r="DQ74" s="18">
        <v>39841</v>
      </c>
      <c r="DR74" s="19">
        <v>0.67013888888888884</v>
      </c>
      <c r="DS74">
        <v>1.4E-2</v>
      </c>
      <c r="DT74">
        <v>1.7000000000000001E-2</v>
      </c>
      <c r="DU74">
        <v>1.7999999999999999E-2</v>
      </c>
      <c r="DW74" t="s">
        <v>172</v>
      </c>
      <c r="DX74" s="18">
        <v>39890</v>
      </c>
      <c r="DY74" s="19">
        <v>0.66666666666666663</v>
      </c>
      <c r="DZ74">
        <v>0.2661</v>
      </c>
      <c r="EA74">
        <v>0.35</v>
      </c>
      <c r="EB74">
        <v>0.316</v>
      </c>
      <c r="ED74" t="s">
        <v>171</v>
      </c>
      <c r="EE74" s="18">
        <v>39869</v>
      </c>
      <c r="EF74" s="19">
        <v>0.67013888888888884</v>
      </c>
      <c r="EG74">
        <v>2.75E-2</v>
      </c>
      <c r="EH74">
        <v>0.06</v>
      </c>
      <c r="EI74">
        <v>4.9000000000000002E-2</v>
      </c>
      <c r="EK74" t="s">
        <v>174</v>
      </c>
      <c r="EL74" s="18">
        <v>39889</v>
      </c>
      <c r="EM74" s="19">
        <v>0.67013888888888884</v>
      </c>
      <c r="EN74">
        <v>0.3417</v>
      </c>
      <c r="EO74">
        <v>0.45</v>
      </c>
      <c r="EP74">
        <v>0.439</v>
      </c>
      <c r="EY74" t="s">
        <v>175</v>
      </c>
      <c r="EZ74" s="18">
        <v>39842</v>
      </c>
      <c r="FA74" s="19">
        <v>0.27083333333333331</v>
      </c>
      <c r="FB74">
        <v>1.07</v>
      </c>
      <c r="FC74">
        <v>1.07</v>
      </c>
      <c r="FD74">
        <v>1.0469999999999999</v>
      </c>
      <c r="FF74" t="s">
        <v>174</v>
      </c>
      <c r="FG74" s="18">
        <v>39924</v>
      </c>
      <c r="FH74" s="19">
        <v>0.25</v>
      </c>
      <c r="FI74">
        <v>0.80840000000000001</v>
      </c>
      <c r="FJ74">
        <v>0.81</v>
      </c>
      <c r="FK74">
        <v>0.68500000000000005</v>
      </c>
      <c r="FM74" t="s">
        <v>169</v>
      </c>
      <c r="FN74" s="18">
        <v>40374</v>
      </c>
      <c r="FO74" s="19">
        <v>0.27013888888888887</v>
      </c>
      <c r="FP74">
        <v>1.1055999999999999</v>
      </c>
      <c r="FQ74">
        <v>1.0900000000000001</v>
      </c>
      <c r="FR74">
        <v>0.72299999999999998</v>
      </c>
      <c r="FT74" t="s">
        <v>173</v>
      </c>
      <c r="FU74" s="18">
        <v>39876</v>
      </c>
      <c r="FV74" s="19">
        <v>0.12569444444444444</v>
      </c>
      <c r="FW74">
        <v>0.55000000000000004</v>
      </c>
      <c r="FX74">
        <v>0.54700000000000004</v>
      </c>
      <c r="FY74">
        <v>0.58599999999999997</v>
      </c>
      <c r="GA74" t="s">
        <v>175</v>
      </c>
      <c r="GB74" s="18">
        <v>39843</v>
      </c>
      <c r="GC74" s="19">
        <v>0.33680555555555558</v>
      </c>
      <c r="GD74">
        <v>1.54</v>
      </c>
      <c r="GE74">
        <v>1.55</v>
      </c>
      <c r="GF74">
        <v>1.4650000000000001</v>
      </c>
    </row>
    <row r="75" spans="1:188" x14ac:dyDescent="0.3">
      <c r="A75" t="s">
        <v>175</v>
      </c>
      <c r="B75">
        <v>39742</v>
      </c>
      <c r="C75" s="19">
        <v>0.69444444444444442</v>
      </c>
      <c r="D75">
        <v>8.8599999999999998E-2</v>
      </c>
      <c r="E75">
        <v>4.4999999999999998E-2</v>
      </c>
      <c r="F75">
        <v>4.1000000000000002E-2</v>
      </c>
      <c r="H75" t="s">
        <v>176</v>
      </c>
      <c r="I75" s="18">
        <v>39743</v>
      </c>
      <c r="J75" s="19">
        <v>0.66736111111111107</v>
      </c>
      <c r="K75">
        <v>1.35E-2</v>
      </c>
      <c r="L75">
        <v>1.35E-2</v>
      </c>
      <c r="M75">
        <v>1.2999999999999999E-2</v>
      </c>
      <c r="O75" t="s">
        <v>176</v>
      </c>
      <c r="P75" s="18">
        <v>39737</v>
      </c>
      <c r="Q75" s="19">
        <v>0.66736111111111107</v>
      </c>
      <c r="R75">
        <v>0.10150000000000001</v>
      </c>
      <c r="S75">
        <v>0.106</v>
      </c>
      <c r="T75">
        <v>0.10100000000000001</v>
      </c>
      <c r="AC75" t="s">
        <v>174</v>
      </c>
      <c r="AD75" s="18">
        <v>39744</v>
      </c>
      <c r="AE75" s="19">
        <v>0.67361111111111116</v>
      </c>
      <c r="AF75">
        <v>0.47599999999999998</v>
      </c>
      <c r="AG75">
        <v>0.48</v>
      </c>
      <c r="AH75">
        <v>0.47099999999999997</v>
      </c>
      <c r="AJ75" t="s">
        <v>175</v>
      </c>
      <c r="AK75" s="18">
        <v>39839</v>
      </c>
      <c r="AL75" s="19">
        <v>0.67013888888888884</v>
      </c>
      <c r="AM75">
        <v>5.4000000000000003E-3</v>
      </c>
      <c r="AN75">
        <v>5.4000000000000003E-3</v>
      </c>
      <c r="AO75">
        <v>5.0000000000000001E-3</v>
      </c>
      <c r="AQ75" t="s">
        <v>172</v>
      </c>
      <c r="AR75" s="18">
        <v>39758</v>
      </c>
      <c r="AS75" s="19">
        <v>0.68055555555555558</v>
      </c>
      <c r="AT75">
        <v>3.5000000000000001E-3</v>
      </c>
      <c r="AU75">
        <v>5.0000000000000001E-3</v>
      </c>
      <c r="AV75">
        <v>3.0000000000000001E-3</v>
      </c>
      <c r="BL75" t="s">
        <v>268</v>
      </c>
      <c r="BM75" s="18">
        <v>39903</v>
      </c>
      <c r="BN75" s="19">
        <v>0.3840277777777778</v>
      </c>
      <c r="BO75">
        <v>19.481300000000001</v>
      </c>
      <c r="BP75">
        <v>19.204000000000001</v>
      </c>
      <c r="BQ75">
        <v>19.466000000000001</v>
      </c>
      <c r="BS75" t="s">
        <v>175</v>
      </c>
      <c r="BT75" s="18">
        <v>39791</v>
      </c>
      <c r="BU75" s="19">
        <v>0.66666666666666663</v>
      </c>
      <c r="BV75">
        <v>8.0000000000000002E-3</v>
      </c>
      <c r="BW75">
        <v>-2.4245362661989844E-14</v>
      </c>
      <c r="BX75">
        <v>-2.4245362661989844E-14</v>
      </c>
      <c r="BZ75" t="s">
        <v>176</v>
      </c>
      <c r="CA75" s="18">
        <v>39737</v>
      </c>
      <c r="CB75" s="19">
        <v>0.67708333333333337</v>
      </c>
      <c r="CC75">
        <v>0.03</v>
      </c>
      <c r="CD75">
        <v>0.13</v>
      </c>
      <c r="CE75">
        <v>-0.39300000000000002</v>
      </c>
      <c r="CG75" t="s">
        <v>175</v>
      </c>
      <c r="CH75" s="18">
        <v>39722</v>
      </c>
      <c r="CI75" s="19">
        <v>0.66666666666666663</v>
      </c>
      <c r="CJ75">
        <v>-0.01</v>
      </c>
      <c r="CK75">
        <v>-0.26519999999999999</v>
      </c>
      <c r="CL75">
        <v>-0.23799999999999999</v>
      </c>
      <c r="CN75" t="s">
        <v>176</v>
      </c>
      <c r="CO75" s="18">
        <v>39751</v>
      </c>
      <c r="CP75" s="19">
        <v>0.88680555555555551</v>
      </c>
      <c r="CQ75">
        <v>0.09</v>
      </c>
      <c r="CR75">
        <v>0.09</v>
      </c>
      <c r="CS75">
        <v>7.6999999999999999E-2</v>
      </c>
      <c r="DP75" t="s">
        <v>174</v>
      </c>
      <c r="DQ75" s="18">
        <v>39750</v>
      </c>
      <c r="DR75" s="19">
        <v>0.67013888888888884</v>
      </c>
      <c r="DS75">
        <v>1.7999999999999999E-2</v>
      </c>
      <c r="DT75">
        <v>2.1000000000000001E-2</v>
      </c>
      <c r="DU75">
        <v>1.7999999999999999E-2</v>
      </c>
      <c r="DW75" t="s">
        <v>173</v>
      </c>
      <c r="DX75" s="18">
        <v>39800</v>
      </c>
      <c r="DY75" s="19">
        <v>0.66736111111111107</v>
      </c>
      <c r="DZ75">
        <v>0.25519999999999998</v>
      </c>
      <c r="EA75">
        <v>0.34</v>
      </c>
      <c r="EB75">
        <v>0.33900000000000002</v>
      </c>
      <c r="ED75" t="s">
        <v>172</v>
      </c>
      <c r="EE75" s="18">
        <v>39772</v>
      </c>
      <c r="EF75" s="19">
        <v>0.67013888888888884</v>
      </c>
      <c r="EG75">
        <v>0.02</v>
      </c>
      <c r="EH75">
        <v>4.7500000000000001E-2</v>
      </c>
      <c r="EI75">
        <v>4.2999999999999997E-2</v>
      </c>
      <c r="EK75" t="s">
        <v>175</v>
      </c>
      <c r="EL75" s="18">
        <v>39798</v>
      </c>
      <c r="EM75" s="19">
        <v>0.67013888888888884</v>
      </c>
      <c r="EN75">
        <v>0.45600000000000002</v>
      </c>
      <c r="EO75">
        <v>0.6</v>
      </c>
      <c r="EP75">
        <v>0.56699999999999995</v>
      </c>
      <c r="EY75" t="s">
        <v>176</v>
      </c>
      <c r="EZ75" s="18">
        <v>39744</v>
      </c>
      <c r="FA75" s="19">
        <v>0.27083333333333331</v>
      </c>
      <c r="FB75">
        <v>1.04</v>
      </c>
      <c r="FC75">
        <v>1.04</v>
      </c>
      <c r="FD75">
        <v>1.0189999999999999</v>
      </c>
      <c r="FF75" t="s">
        <v>175</v>
      </c>
      <c r="FG75" s="18">
        <v>39835</v>
      </c>
      <c r="FH75" s="19">
        <v>0.25</v>
      </c>
      <c r="FI75">
        <v>0.78</v>
      </c>
      <c r="FJ75">
        <v>0.78</v>
      </c>
      <c r="FK75">
        <v>0.78200000000000003</v>
      </c>
      <c r="FM75" t="s">
        <v>170</v>
      </c>
      <c r="FN75" s="18">
        <v>40282</v>
      </c>
      <c r="FO75" s="19">
        <v>0.29097222222222224</v>
      </c>
      <c r="FP75">
        <v>1.2117</v>
      </c>
      <c r="FQ75">
        <v>0.74</v>
      </c>
      <c r="FR75">
        <v>0.63800000000000001</v>
      </c>
      <c r="FT75" t="s">
        <v>174</v>
      </c>
      <c r="FU75" s="18">
        <v>39793</v>
      </c>
      <c r="FV75" s="19">
        <v>0.12569444444444444</v>
      </c>
      <c r="FW75">
        <v>0.65159999999999996</v>
      </c>
      <c r="FX75">
        <v>0.65580000000000005</v>
      </c>
      <c r="FY75">
        <v>0.61699999999999999</v>
      </c>
      <c r="GA75" t="s">
        <v>176</v>
      </c>
      <c r="GB75" s="18">
        <v>39751</v>
      </c>
      <c r="GC75" s="19">
        <v>0.33750000000000002</v>
      </c>
      <c r="GD75">
        <v>2.59</v>
      </c>
      <c r="GE75">
        <v>2.59</v>
      </c>
      <c r="GF75">
        <v>2.4009999999999998</v>
      </c>
    </row>
    <row r="76" spans="1:188" x14ac:dyDescent="0.3">
      <c r="A76" t="s">
        <v>176</v>
      </c>
      <c r="B76">
        <v>39650</v>
      </c>
      <c r="C76" s="19">
        <v>0.6875</v>
      </c>
      <c r="D76">
        <v>4.4600000000000001E-2</v>
      </c>
      <c r="E76">
        <v>4.2500000000000003E-2</v>
      </c>
      <c r="F76">
        <v>0.04</v>
      </c>
      <c r="H76" t="s">
        <v>177</v>
      </c>
      <c r="I76" s="18">
        <v>39652</v>
      </c>
      <c r="J76" s="19">
        <v>0.66736111111111107</v>
      </c>
      <c r="K76">
        <v>1.8499999999999999E-2</v>
      </c>
      <c r="L76">
        <v>1.8499999999999999E-2</v>
      </c>
      <c r="M76">
        <v>1.2999999999999999E-2</v>
      </c>
      <c r="O76" t="s">
        <v>177</v>
      </c>
      <c r="P76" s="18">
        <v>39646</v>
      </c>
      <c r="Q76" s="19">
        <v>0.66736111111111107</v>
      </c>
      <c r="R76">
        <v>9.8000000000000004E-2</v>
      </c>
      <c r="S76">
        <v>9.8000000000000004E-2</v>
      </c>
      <c r="T76">
        <v>9.9000000000000005E-2</v>
      </c>
      <c r="AC76" t="s">
        <v>175</v>
      </c>
      <c r="AD76" s="18">
        <v>39646</v>
      </c>
      <c r="AE76" s="19">
        <v>0.67708333333333337</v>
      </c>
      <c r="AF76">
        <v>0.47</v>
      </c>
      <c r="AG76">
        <v>0.46</v>
      </c>
      <c r="AH76">
        <v>0.47199999999999998</v>
      </c>
      <c r="AJ76" t="s">
        <v>176</v>
      </c>
      <c r="AK76" s="18">
        <v>39741</v>
      </c>
      <c r="AL76" s="19">
        <v>0.67013888888888884</v>
      </c>
      <c r="AM76">
        <v>4.7000000000000002E-3</v>
      </c>
      <c r="AN76">
        <v>4.7000000000000002E-3</v>
      </c>
      <c r="AO76">
        <v>4.0000000000000001E-3</v>
      </c>
      <c r="AQ76" t="s">
        <v>173</v>
      </c>
      <c r="AR76" s="18">
        <v>39672</v>
      </c>
      <c r="AS76" s="19">
        <v>0.69097222222222221</v>
      </c>
      <c r="AT76">
        <v>1.8E-3</v>
      </c>
      <c r="AU76">
        <v>3.3E-3</v>
      </c>
      <c r="AV76">
        <v>4.0000000000000001E-3</v>
      </c>
      <c r="BL76" t="s">
        <v>176</v>
      </c>
      <c r="BM76" s="18">
        <v>39752</v>
      </c>
      <c r="BN76" s="19">
        <v>0.33680555555555558</v>
      </c>
      <c r="BO76">
        <v>-2.4245362661989844E-14</v>
      </c>
      <c r="BP76">
        <v>5.9642999999999997</v>
      </c>
      <c r="BQ76">
        <v>5.8730000000000002</v>
      </c>
      <c r="BS76" t="s">
        <v>176</v>
      </c>
      <c r="BT76" s="18">
        <v>39708</v>
      </c>
      <c r="BV76">
        <v>8.9999999999999993E-3</v>
      </c>
      <c r="BW76">
        <v>-2.4245362661989844E-14</v>
      </c>
      <c r="BX76">
        <v>-2.4245362661989844E-14</v>
      </c>
      <c r="BZ76" t="s">
        <v>177</v>
      </c>
      <c r="CA76" s="18">
        <v>39646</v>
      </c>
      <c r="CB76" s="19">
        <v>0.67708333333333337</v>
      </c>
      <c r="CC76">
        <v>-0.90190000000000003</v>
      </c>
      <c r="CD76">
        <v>-0.6</v>
      </c>
      <c r="CE76">
        <v>-0.53500000000000003</v>
      </c>
      <c r="CG76" t="s">
        <v>176</v>
      </c>
      <c r="CH76" s="18">
        <v>39625</v>
      </c>
      <c r="CI76" s="19">
        <v>0.67152777777777772</v>
      </c>
      <c r="CJ76">
        <v>-0.28999999999999998</v>
      </c>
      <c r="CK76">
        <v>-0.29499999999999998</v>
      </c>
      <c r="CL76">
        <v>-0.29699999999999999</v>
      </c>
      <c r="CN76" t="s">
        <v>177</v>
      </c>
      <c r="CO76" s="18">
        <v>39664</v>
      </c>
      <c r="CP76" s="19">
        <v>0.82152777777777775</v>
      </c>
      <c r="CQ76">
        <v>6.4000000000000001E-2</v>
      </c>
      <c r="CR76">
        <v>6.4000000000000001E-2</v>
      </c>
      <c r="CS76">
        <v>0.11</v>
      </c>
      <c r="DP76" t="s">
        <v>175</v>
      </c>
      <c r="DQ76" s="18">
        <v>39666</v>
      </c>
      <c r="DR76" s="19">
        <v>0.67013888888888884</v>
      </c>
      <c r="DS76">
        <v>1.7999999999999999E-2</v>
      </c>
      <c r="DT76">
        <v>2.1000000000000001E-2</v>
      </c>
      <c r="DU76">
        <v>1.6E-2</v>
      </c>
      <c r="DW76" t="s">
        <v>174</v>
      </c>
      <c r="DX76" s="18">
        <v>39709</v>
      </c>
      <c r="DY76" s="19">
        <v>0.66736111111111107</v>
      </c>
      <c r="DZ76">
        <v>0.21779999999999999</v>
      </c>
      <c r="EA76">
        <v>0.28999999999999998</v>
      </c>
      <c r="EB76">
        <v>0.26800000000000002</v>
      </c>
      <c r="ED76" t="s">
        <v>173</v>
      </c>
      <c r="EE76" s="18">
        <v>39680</v>
      </c>
      <c r="EF76" s="19">
        <v>0.67013888888888884</v>
      </c>
      <c r="EG76">
        <v>0.02</v>
      </c>
      <c r="EH76">
        <v>4.4999999999999998E-2</v>
      </c>
      <c r="EI76">
        <v>4.5999999999999999E-2</v>
      </c>
      <c r="EK76" t="s">
        <v>176</v>
      </c>
      <c r="EL76" s="18">
        <v>39707</v>
      </c>
      <c r="EM76" s="19">
        <v>0.67013888888888884</v>
      </c>
      <c r="EN76">
        <v>0.35</v>
      </c>
      <c r="EO76">
        <v>0.5</v>
      </c>
      <c r="EP76">
        <v>0.46400000000000002</v>
      </c>
      <c r="EY76" t="s">
        <v>177</v>
      </c>
      <c r="EZ76" s="18">
        <v>39653</v>
      </c>
      <c r="FA76" s="19">
        <v>0.29166666666666669</v>
      </c>
      <c r="FB76">
        <v>0.99</v>
      </c>
      <c r="FC76">
        <v>0.99</v>
      </c>
      <c r="FD76">
        <v>0.99299999999999999</v>
      </c>
      <c r="FF76" t="s">
        <v>176</v>
      </c>
      <c r="FG76" s="18">
        <v>39737</v>
      </c>
      <c r="FH76" s="19">
        <v>0.25</v>
      </c>
      <c r="FI76">
        <v>0.73</v>
      </c>
      <c r="FJ76">
        <v>0.73</v>
      </c>
      <c r="FK76">
        <v>0.73099999999999998</v>
      </c>
      <c r="FM76" t="s">
        <v>171</v>
      </c>
      <c r="FN76" s="18">
        <v>40193</v>
      </c>
      <c r="FO76" s="19">
        <v>0.29097222222222224</v>
      </c>
      <c r="FP76">
        <v>0.8327</v>
      </c>
      <c r="FQ76">
        <v>0.74</v>
      </c>
      <c r="FR76">
        <v>0.60199999999999998</v>
      </c>
      <c r="FT76" t="s">
        <v>175</v>
      </c>
      <c r="FU76" s="18">
        <v>39729</v>
      </c>
      <c r="FV76" s="19">
        <v>0.12569444444444444</v>
      </c>
      <c r="FW76">
        <v>0.91500000000000004</v>
      </c>
      <c r="FX76">
        <v>0.95720000000000005</v>
      </c>
      <c r="FY76">
        <v>0.92600000000000005</v>
      </c>
      <c r="GA76" t="s">
        <v>177</v>
      </c>
      <c r="GB76" s="18">
        <v>39660</v>
      </c>
      <c r="GC76" s="19">
        <v>0.34166666666666667</v>
      </c>
      <c r="GD76">
        <v>2.27</v>
      </c>
      <c r="GE76">
        <v>2.27</v>
      </c>
      <c r="GF76">
        <v>2.5259999999999998</v>
      </c>
    </row>
    <row r="77" spans="1:188" x14ac:dyDescent="0.3">
      <c r="A77" t="s">
        <v>177</v>
      </c>
      <c r="B77">
        <v>39561</v>
      </c>
      <c r="C77" s="19">
        <v>0.6875</v>
      </c>
      <c r="D77">
        <v>4.36E-2</v>
      </c>
      <c r="E77">
        <v>4.1399999999999999E-2</v>
      </c>
      <c r="F77">
        <v>3.9E-2</v>
      </c>
      <c r="H77" t="s">
        <v>178</v>
      </c>
      <c r="I77" s="18">
        <v>39561</v>
      </c>
      <c r="J77" s="19">
        <v>0.66736111111111107</v>
      </c>
      <c r="K77">
        <v>1.7000000000000001E-2</v>
      </c>
      <c r="L77">
        <v>1.7000000000000001E-2</v>
      </c>
      <c r="M77">
        <v>1.6E-2</v>
      </c>
      <c r="O77" t="s">
        <v>178</v>
      </c>
      <c r="P77" s="18">
        <v>39555</v>
      </c>
      <c r="Q77" s="19">
        <v>0.66736111111111107</v>
      </c>
      <c r="R77">
        <v>0.10299999999999999</v>
      </c>
      <c r="S77">
        <v>0.10299999999999999</v>
      </c>
      <c r="T77">
        <v>9.8000000000000004E-2</v>
      </c>
      <c r="AC77" t="s">
        <v>176</v>
      </c>
      <c r="AD77" s="18">
        <v>39562</v>
      </c>
      <c r="AE77" s="19">
        <v>0.67361111111111116</v>
      </c>
      <c r="AF77">
        <v>0.47</v>
      </c>
      <c r="AG77">
        <v>0.47</v>
      </c>
      <c r="AH77">
        <v>0.44500000000000001</v>
      </c>
      <c r="AJ77" t="s">
        <v>177</v>
      </c>
      <c r="AK77" s="18">
        <v>39654</v>
      </c>
      <c r="AL77" s="19">
        <v>0.29166666666666669</v>
      </c>
      <c r="AM77">
        <v>6.0000000000000001E-3</v>
      </c>
      <c r="AN77">
        <v>6.0000000000000001E-3</v>
      </c>
      <c r="AO77">
        <v>6.0000000000000001E-3</v>
      </c>
      <c r="AQ77" t="s">
        <v>174</v>
      </c>
      <c r="AR77" s="18">
        <v>39576</v>
      </c>
      <c r="AS77" s="19">
        <v>0.68055555555555558</v>
      </c>
      <c r="AT77">
        <v>7.4999999999999997E-3</v>
      </c>
      <c r="AU77">
        <v>8.9999999999999993E-3</v>
      </c>
      <c r="AV77">
        <v>0.01</v>
      </c>
      <c r="BL77" t="s">
        <v>177</v>
      </c>
      <c r="BM77" s="18">
        <v>39679</v>
      </c>
      <c r="BN77" s="19">
        <v>0.40763888888888888</v>
      </c>
      <c r="BO77">
        <v>5.5431999999999997</v>
      </c>
      <c r="BP77">
        <v>5.5458999999999996</v>
      </c>
      <c r="BQ77">
        <v>5.391</v>
      </c>
      <c r="BS77" t="s">
        <v>177</v>
      </c>
      <c r="BT77" s="18">
        <v>39680</v>
      </c>
      <c r="BV77">
        <v>8.0000000000000002E-3</v>
      </c>
      <c r="BW77">
        <v>-2.4245362661989844E-14</v>
      </c>
      <c r="BX77">
        <v>-2.4245362661989844E-14</v>
      </c>
      <c r="BZ77" t="s">
        <v>178</v>
      </c>
      <c r="CA77" s="18">
        <v>39555</v>
      </c>
      <c r="CB77" s="19">
        <v>0.67708333333333337</v>
      </c>
      <c r="CC77">
        <v>-0.55000000000000004</v>
      </c>
      <c r="CD77">
        <v>-0.51</v>
      </c>
      <c r="CE77">
        <v>-0.48099999999999998</v>
      </c>
      <c r="CG77" t="s">
        <v>177</v>
      </c>
      <c r="CH77" s="18">
        <v>39540</v>
      </c>
      <c r="CI77" s="19">
        <v>0.67291666666666672</v>
      </c>
      <c r="CJ77">
        <v>-0.39</v>
      </c>
      <c r="CK77">
        <v>-0.40600000000000003</v>
      </c>
      <c r="CL77">
        <v>-0.36799999999999999</v>
      </c>
      <c r="CN77" t="s">
        <v>178</v>
      </c>
      <c r="CO77" s="18">
        <v>39569</v>
      </c>
      <c r="CP77" s="19">
        <v>0.7944444444444444</v>
      </c>
      <c r="CQ77">
        <v>8.4000000000000005E-2</v>
      </c>
      <c r="CR77">
        <v>8.5999999999999993E-2</v>
      </c>
      <c r="CS77">
        <v>9.4E-2</v>
      </c>
      <c r="DP77" t="s">
        <v>176</v>
      </c>
      <c r="DQ77" s="18">
        <v>39567</v>
      </c>
      <c r="DR77" s="19">
        <v>0.67013888888888884</v>
      </c>
      <c r="DS77">
        <v>1.2999999999999999E-2</v>
      </c>
      <c r="DT77">
        <v>1.4999999999999999E-2</v>
      </c>
      <c r="DU77">
        <v>1.4999999999999999E-2</v>
      </c>
      <c r="DW77" t="s">
        <v>175</v>
      </c>
      <c r="DX77" s="18">
        <v>39624</v>
      </c>
      <c r="DY77" s="19">
        <v>0.66736111111111107</v>
      </c>
      <c r="DZ77">
        <v>0.45</v>
      </c>
      <c r="EA77">
        <v>0.47</v>
      </c>
      <c r="EB77">
        <v>0.439</v>
      </c>
      <c r="ED77" t="s">
        <v>174</v>
      </c>
      <c r="EE77" s="18">
        <v>39589</v>
      </c>
      <c r="EF77" s="19">
        <v>0.67013888888888884</v>
      </c>
      <c r="EG77">
        <v>2.0199999999999999E-2</v>
      </c>
      <c r="EH77">
        <v>0.04</v>
      </c>
      <c r="EI77">
        <v>3.7999999999999999E-2</v>
      </c>
      <c r="EK77" t="s">
        <v>177</v>
      </c>
      <c r="EL77" s="18">
        <v>39615</v>
      </c>
      <c r="EM77" s="19">
        <v>0.67013888888888884</v>
      </c>
      <c r="EN77">
        <v>0.44</v>
      </c>
      <c r="EO77">
        <v>0.5</v>
      </c>
      <c r="EP77">
        <v>0.46300000000000002</v>
      </c>
      <c r="EY77" t="s">
        <v>178</v>
      </c>
      <c r="EZ77" s="18">
        <v>39559</v>
      </c>
      <c r="FA77" s="19">
        <v>0.27083333333333331</v>
      </c>
      <c r="FB77">
        <v>0.92</v>
      </c>
      <c r="FC77">
        <v>0.92</v>
      </c>
      <c r="FD77">
        <v>0.95899999999999996</v>
      </c>
      <c r="FF77" t="s">
        <v>177</v>
      </c>
      <c r="FG77" s="18">
        <v>39651</v>
      </c>
      <c r="FH77" s="19">
        <v>0.25</v>
      </c>
      <c r="FI77">
        <v>0.67</v>
      </c>
      <c r="FJ77">
        <v>0.67</v>
      </c>
      <c r="FK77">
        <v>0.64500000000000002</v>
      </c>
      <c r="FM77" t="s">
        <v>172</v>
      </c>
      <c r="FN77" s="18">
        <v>40100</v>
      </c>
      <c r="FO77" s="19">
        <v>0.29097222222222224</v>
      </c>
      <c r="FP77">
        <v>0.87509999999999999</v>
      </c>
      <c r="FQ77">
        <v>0.82</v>
      </c>
      <c r="FR77">
        <v>0.50800000000000001</v>
      </c>
      <c r="FT77" t="s">
        <v>176</v>
      </c>
      <c r="FU77" s="18">
        <v>39597</v>
      </c>
      <c r="FV77" s="19">
        <v>0.12569444444444444</v>
      </c>
      <c r="FW77">
        <v>0.68</v>
      </c>
      <c r="FX77">
        <v>0.67910000000000004</v>
      </c>
      <c r="FY77">
        <v>0.65400000000000003</v>
      </c>
      <c r="GA77" t="s">
        <v>178</v>
      </c>
      <c r="GB77" s="18">
        <v>39569</v>
      </c>
      <c r="GC77" s="19">
        <v>0.33750000000000002</v>
      </c>
      <c r="GD77">
        <v>2.0299999999999998</v>
      </c>
      <c r="GE77">
        <v>2.0299999999999998</v>
      </c>
      <c r="GF77">
        <v>2.1480000000000001</v>
      </c>
    </row>
    <row r="78" spans="1:188" x14ac:dyDescent="0.3">
      <c r="A78" t="s">
        <v>178</v>
      </c>
      <c r="B78">
        <v>39469</v>
      </c>
      <c r="C78" s="19">
        <v>0.6875</v>
      </c>
      <c r="D78">
        <v>6.2899999999999998E-2</v>
      </c>
      <c r="E78">
        <v>6.2899999999999998E-2</v>
      </c>
      <c r="F78">
        <v>5.8000000000000003E-2</v>
      </c>
      <c r="H78" t="s">
        <v>179</v>
      </c>
      <c r="I78" s="18">
        <v>39477</v>
      </c>
      <c r="J78" s="19">
        <v>0.66736111111111107</v>
      </c>
      <c r="K78">
        <v>2.4E-2</v>
      </c>
      <c r="L78">
        <v>2.4E-2</v>
      </c>
      <c r="M78">
        <v>2.3E-2</v>
      </c>
      <c r="O78" t="s">
        <v>179</v>
      </c>
      <c r="P78" s="18">
        <v>39478</v>
      </c>
      <c r="Q78" s="19">
        <v>0.66736111111111107</v>
      </c>
      <c r="R78">
        <v>9.4799999999999995E-2</v>
      </c>
      <c r="S78">
        <v>9.4799999999999995E-2</v>
      </c>
      <c r="T78">
        <v>9.8000000000000004E-2</v>
      </c>
      <c r="AC78" t="s">
        <v>177</v>
      </c>
      <c r="AD78" s="18">
        <v>39471</v>
      </c>
      <c r="AE78" s="19">
        <v>0.67708333333333337</v>
      </c>
      <c r="AF78">
        <v>0.51</v>
      </c>
      <c r="AG78">
        <v>0.5</v>
      </c>
      <c r="AH78">
        <v>0.46200000000000002</v>
      </c>
      <c r="AJ78" t="s">
        <v>178</v>
      </c>
      <c r="AK78" s="18">
        <v>39559</v>
      </c>
      <c r="AL78" s="19">
        <v>0.67013888888888884</v>
      </c>
      <c r="AM78">
        <v>3.0000000000000001E-3</v>
      </c>
      <c r="AN78">
        <v>3.0000000000000001E-3</v>
      </c>
      <c r="AO78">
        <v>3.0000000000000001E-3</v>
      </c>
      <c r="AQ78" t="s">
        <v>175</v>
      </c>
      <c r="AR78" s="18">
        <v>39491</v>
      </c>
      <c r="AS78" s="19">
        <v>0.7006944444444444</v>
      </c>
      <c r="AT78">
        <v>1.0500000000000001E-2</v>
      </c>
      <c r="AU78">
        <v>1.23E-2</v>
      </c>
      <c r="AV78">
        <v>1.2E-2</v>
      </c>
      <c r="BL78" t="s">
        <v>178</v>
      </c>
      <c r="BM78" s="18">
        <v>39569</v>
      </c>
      <c r="BN78" s="19">
        <v>5.5555555555555552E-2</v>
      </c>
      <c r="BO78">
        <v>5.2192999999999996</v>
      </c>
      <c r="BP78">
        <v>5.4451999999999998</v>
      </c>
      <c r="BQ78">
        <v>4.5789999999999997</v>
      </c>
      <c r="BS78" t="s">
        <v>178</v>
      </c>
      <c r="BT78" s="18">
        <v>39520</v>
      </c>
      <c r="BV78">
        <v>-2.4245362661989844E-14</v>
      </c>
      <c r="BW78">
        <v>-2.4245362661989844E-14</v>
      </c>
      <c r="BX78">
        <v>-2.4245362661989844E-14</v>
      </c>
      <c r="BZ78" t="s">
        <v>179</v>
      </c>
      <c r="CA78" s="18">
        <v>39464</v>
      </c>
      <c r="CB78" s="19">
        <v>0.67708333333333337</v>
      </c>
      <c r="CC78">
        <v>-0.22</v>
      </c>
      <c r="CD78">
        <v>-0.17</v>
      </c>
      <c r="CE78">
        <v>-0.35</v>
      </c>
      <c r="CG78" t="s">
        <v>178</v>
      </c>
      <c r="CH78" s="18">
        <v>39436</v>
      </c>
      <c r="CI78" s="19">
        <v>0.6694444444444444</v>
      </c>
      <c r="CJ78">
        <v>-0.28000000000000003</v>
      </c>
      <c r="CK78">
        <v>-0.25</v>
      </c>
      <c r="CL78">
        <v>-0.188</v>
      </c>
      <c r="CN78" t="s">
        <v>179</v>
      </c>
      <c r="CO78" s="18">
        <v>39479</v>
      </c>
      <c r="CP78" s="19">
        <v>0.78888888888888886</v>
      </c>
      <c r="CQ78">
        <v>0.14699999999999999</v>
      </c>
      <c r="CR78">
        <v>0.14099999999999999</v>
      </c>
      <c r="CS78">
        <v>0.18</v>
      </c>
      <c r="DP78" t="s">
        <v>177</v>
      </c>
      <c r="DQ78" s="18">
        <v>39477</v>
      </c>
      <c r="DR78" s="19">
        <v>0.67013888888888884</v>
      </c>
      <c r="DS78">
        <v>0.02</v>
      </c>
      <c r="DT78">
        <v>2.1999999999999999E-2</v>
      </c>
      <c r="DU78">
        <v>1.9E-2</v>
      </c>
      <c r="DW78" t="s">
        <v>176</v>
      </c>
      <c r="DX78" s="18">
        <v>39533</v>
      </c>
      <c r="DY78" s="19">
        <v>0.66736111111111107</v>
      </c>
      <c r="DZ78">
        <v>0.3</v>
      </c>
      <c r="EA78">
        <v>0.3</v>
      </c>
      <c r="EB78">
        <v>0.30099999999999999</v>
      </c>
      <c r="ED78" t="s">
        <v>175</v>
      </c>
      <c r="EE78" s="18">
        <v>39505</v>
      </c>
      <c r="EF78" s="19">
        <v>0.67013888888888884</v>
      </c>
      <c r="EG78">
        <v>1.7500000000000002E-2</v>
      </c>
      <c r="EH78">
        <v>3.2500000000000001E-2</v>
      </c>
      <c r="EI78">
        <v>3.3000000000000002E-2</v>
      </c>
      <c r="EK78" t="s">
        <v>178</v>
      </c>
      <c r="EL78" s="18">
        <v>39525</v>
      </c>
      <c r="EM78" s="19">
        <v>0.67013888888888884</v>
      </c>
      <c r="EN78">
        <v>0.42</v>
      </c>
      <c r="EO78">
        <v>0.48</v>
      </c>
      <c r="EP78">
        <v>0.45300000000000001</v>
      </c>
      <c r="EY78" t="s">
        <v>179</v>
      </c>
      <c r="EZ78" s="18">
        <v>39476</v>
      </c>
      <c r="FA78" s="19">
        <v>0.29166666666666669</v>
      </c>
      <c r="FB78">
        <v>0.9</v>
      </c>
      <c r="FC78">
        <v>0.9</v>
      </c>
      <c r="FD78">
        <v>0.89300000000000002</v>
      </c>
      <c r="FF78" t="s">
        <v>178</v>
      </c>
      <c r="FG78" s="18">
        <v>39560</v>
      </c>
      <c r="FH78" s="19">
        <v>0.25</v>
      </c>
      <c r="FI78">
        <v>0.78</v>
      </c>
      <c r="FJ78">
        <v>0.78</v>
      </c>
      <c r="FK78">
        <v>0.79400000000000004</v>
      </c>
      <c r="FM78" t="s">
        <v>173</v>
      </c>
      <c r="FN78" s="18">
        <v>40010</v>
      </c>
      <c r="FO78" s="19">
        <v>0.27013888888888887</v>
      </c>
      <c r="FP78">
        <v>0.5373</v>
      </c>
      <c r="FQ78">
        <v>0.28000000000000003</v>
      </c>
      <c r="FR78">
        <v>4.5999999999999999E-2</v>
      </c>
      <c r="FT78" t="s">
        <v>177</v>
      </c>
      <c r="FU78" s="18">
        <v>39512</v>
      </c>
      <c r="FV78" s="19">
        <v>0.12569444444444444</v>
      </c>
      <c r="FW78">
        <v>0.74</v>
      </c>
      <c r="FX78">
        <v>0.73270000000000002</v>
      </c>
      <c r="FY78">
        <v>0.74199999999999999</v>
      </c>
      <c r="GA78" t="s">
        <v>179</v>
      </c>
      <c r="GB78" s="18">
        <v>39479</v>
      </c>
      <c r="GC78" s="19">
        <v>0.34305555555555556</v>
      </c>
      <c r="GD78">
        <v>2.13</v>
      </c>
      <c r="GE78">
        <v>2.13</v>
      </c>
      <c r="GF78">
        <v>2.0019999999999998</v>
      </c>
    </row>
    <row r="79" spans="1:188" x14ac:dyDescent="0.3">
      <c r="A79" t="s">
        <v>179</v>
      </c>
      <c r="B79">
        <v>39377</v>
      </c>
      <c r="C79" s="19">
        <v>0.6875</v>
      </c>
      <c r="D79">
        <v>3.4599999999999999E-2</v>
      </c>
      <c r="E79">
        <v>3.61E-2</v>
      </c>
      <c r="F79">
        <v>0.03</v>
      </c>
      <c r="H79" t="s">
        <v>180</v>
      </c>
      <c r="I79" s="18">
        <v>39378</v>
      </c>
      <c r="J79" s="19">
        <v>0.66736111111111107</v>
      </c>
      <c r="K79">
        <v>9.4999999999999998E-3</v>
      </c>
      <c r="L79">
        <v>9.4999999999999998E-3</v>
      </c>
      <c r="M79">
        <v>8.9999999999999993E-3</v>
      </c>
      <c r="O79" t="s">
        <v>180</v>
      </c>
      <c r="P79" s="18">
        <v>39373</v>
      </c>
      <c r="Q79" s="19">
        <v>0.66736111111111107</v>
      </c>
      <c r="R79">
        <v>8.4500000000000006E-2</v>
      </c>
      <c r="S79">
        <v>8.4500000000000006E-2</v>
      </c>
      <c r="T79">
        <v>7.8E-2</v>
      </c>
      <c r="AC79" t="s">
        <v>178</v>
      </c>
      <c r="AD79" s="18">
        <v>39380</v>
      </c>
      <c r="AE79" s="19">
        <v>0.67361111111111116</v>
      </c>
      <c r="AF79">
        <v>0.45</v>
      </c>
      <c r="AG79">
        <v>0.45</v>
      </c>
      <c r="AH79">
        <v>0.39</v>
      </c>
      <c r="AJ79" t="s">
        <v>179</v>
      </c>
      <c r="AK79" s="18">
        <v>39470</v>
      </c>
      <c r="AL79" s="19">
        <v>0.67013888888888884</v>
      </c>
      <c r="AM79">
        <v>3.3999999999999998E-3</v>
      </c>
      <c r="AN79">
        <v>3.3999999999999998E-3</v>
      </c>
      <c r="AO79">
        <v>2E-3</v>
      </c>
      <c r="AQ79" t="s">
        <v>176</v>
      </c>
      <c r="AR79" s="18">
        <v>39394</v>
      </c>
      <c r="AS79" s="19">
        <v>0.68819444444444444</v>
      </c>
      <c r="AT79">
        <v>9.4999999999999998E-3</v>
      </c>
      <c r="AU79">
        <v>1.0999999999999999E-2</v>
      </c>
      <c r="AV79">
        <v>8.9999999999999993E-3</v>
      </c>
      <c r="BL79" t="s">
        <v>269</v>
      </c>
      <c r="BM79" s="18">
        <v>39520</v>
      </c>
      <c r="BO79">
        <v>20.3764</v>
      </c>
      <c r="BP79">
        <v>20.4937</v>
      </c>
      <c r="BQ79">
        <v>20.495000000000001</v>
      </c>
      <c r="BS79" t="s">
        <v>180</v>
      </c>
      <c r="BT79" s="18">
        <v>39680</v>
      </c>
      <c r="BV79">
        <v>-7.8E-2</v>
      </c>
      <c r="BW79">
        <v>-2.4245362661989844E-14</v>
      </c>
      <c r="BX79">
        <v>-2.4245362661989844E-14</v>
      </c>
      <c r="BZ79" t="s">
        <v>180</v>
      </c>
      <c r="CA79" s="18">
        <v>39373</v>
      </c>
      <c r="CB79" s="19">
        <v>0.67708333333333337</v>
      </c>
      <c r="CC79">
        <v>-0.55000000000000004</v>
      </c>
      <c r="CD79">
        <v>-0.52</v>
      </c>
      <c r="CE79">
        <v>-0.627</v>
      </c>
      <c r="CG79" t="s">
        <v>179</v>
      </c>
      <c r="CH79" s="18">
        <v>39357</v>
      </c>
      <c r="CI79" s="19">
        <v>0.67361111111111116</v>
      </c>
      <c r="CJ79">
        <v>-0.17</v>
      </c>
      <c r="CK79">
        <v>-0.18720000000000001</v>
      </c>
      <c r="CL79">
        <v>-0.22800000000000001</v>
      </c>
      <c r="CN79" t="s">
        <v>180</v>
      </c>
      <c r="CO79" s="18">
        <v>39386</v>
      </c>
      <c r="CQ79">
        <v>0.152</v>
      </c>
      <c r="CR79">
        <v>0.151</v>
      </c>
      <c r="CS79">
        <v>0.12</v>
      </c>
      <c r="DP79" t="s">
        <v>178</v>
      </c>
      <c r="DQ79" s="18">
        <v>39386</v>
      </c>
      <c r="DR79" t="s">
        <v>164</v>
      </c>
      <c r="DS79">
        <v>1.4999999999999999E-2</v>
      </c>
      <c r="DT79">
        <v>1.7000000000000001E-2</v>
      </c>
      <c r="DU79">
        <v>1.4999999999999999E-2</v>
      </c>
      <c r="DW79" t="s">
        <v>177</v>
      </c>
      <c r="DX79" s="18">
        <v>39435</v>
      </c>
      <c r="DY79" s="19">
        <v>0.66666666666666663</v>
      </c>
      <c r="DZ79">
        <v>0.28999999999999998</v>
      </c>
      <c r="EA79">
        <v>0.31</v>
      </c>
      <c r="EB79">
        <v>0.26900000000000002</v>
      </c>
      <c r="ED79" t="s">
        <v>176</v>
      </c>
      <c r="EE79" s="18">
        <v>39401</v>
      </c>
      <c r="EG79">
        <v>1.2500000000000001E-2</v>
      </c>
      <c r="EH79">
        <v>2.75E-2</v>
      </c>
      <c r="EI79">
        <v>2.8000000000000001E-2</v>
      </c>
      <c r="EK79" t="s">
        <v>179</v>
      </c>
      <c r="EL79" s="18">
        <v>39433</v>
      </c>
      <c r="EM79" s="19">
        <v>0.67013888888888884</v>
      </c>
      <c r="EN79">
        <v>0.44</v>
      </c>
      <c r="EO79">
        <v>0.49</v>
      </c>
      <c r="EP79">
        <v>0.47599999999999998</v>
      </c>
      <c r="EY79" t="s">
        <v>180</v>
      </c>
      <c r="EZ79" s="18">
        <v>39373</v>
      </c>
      <c r="FA79" s="19">
        <v>0.29166666666666669</v>
      </c>
      <c r="FB79">
        <v>0.91</v>
      </c>
      <c r="FC79">
        <v>0.91</v>
      </c>
      <c r="FD79">
        <v>0.874</v>
      </c>
      <c r="FF79" t="s">
        <v>179</v>
      </c>
      <c r="FG79" s="18">
        <v>39469</v>
      </c>
      <c r="FH79" s="19">
        <v>0.47499999999999998</v>
      </c>
      <c r="FI79">
        <v>0.92</v>
      </c>
      <c r="FJ79">
        <v>0.92</v>
      </c>
      <c r="FK79">
        <v>0.92400000000000004</v>
      </c>
      <c r="FM79" t="s">
        <v>174</v>
      </c>
      <c r="FN79" s="18">
        <v>39919</v>
      </c>
      <c r="FO79" s="19">
        <v>0.27013888888888887</v>
      </c>
      <c r="FP79">
        <v>0.23230000000000001</v>
      </c>
      <c r="FQ79">
        <v>0.4</v>
      </c>
      <c r="FR79">
        <v>0.32400000000000001</v>
      </c>
      <c r="FT79" t="s">
        <v>178</v>
      </c>
      <c r="FU79" s="18">
        <v>39429</v>
      </c>
      <c r="FV79" s="19">
        <v>0.12569444444444444</v>
      </c>
      <c r="FW79">
        <v>0.59009999999999996</v>
      </c>
      <c r="FX79">
        <v>0.58789999999999998</v>
      </c>
      <c r="FY79">
        <v>0.58799999999999997</v>
      </c>
      <c r="GA79" t="s">
        <v>180</v>
      </c>
      <c r="GB79" s="18">
        <v>39387</v>
      </c>
      <c r="GC79" s="19">
        <v>0.38263888888888886</v>
      </c>
      <c r="GD79">
        <v>1.7</v>
      </c>
      <c r="GE79">
        <v>1.7</v>
      </c>
      <c r="GF79">
        <v>1.7410000000000001</v>
      </c>
    </row>
    <row r="80" spans="1:188" x14ac:dyDescent="0.3">
      <c r="A80" t="s">
        <v>180</v>
      </c>
      <c r="B80">
        <v>39288</v>
      </c>
      <c r="C80" s="19">
        <v>0.68888888888888888</v>
      </c>
      <c r="D80">
        <v>3.3599999999999998E-2</v>
      </c>
      <c r="E80">
        <v>3.2899999999999999E-2</v>
      </c>
      <c r="F80">
        <v>2.5999999999999999E-2</v>
      </c>
      <c r="H80" t="s">
        <v>181</v>
      </c>
      <c r="I80" s="18">
        <v>39287</v>
      </c>
      <c r="J80" s="19">
        <v>0.66736111111111107</v>
      </c>
      <c r="K80">
        <v>9.4999999999999998E-3</v>
      </c>
      <c r="L80">
        <v>9.4999999999999998E-3</v>
      </c>
      <c r="M80">
        <v>8.0000000000000002E-3</v>
      </c>
      <c r="O80" t="s">
        <v>181</v>
      </c>
      <c r="P80" s="18">
        <v>39282</v>
      </c>
      <c r="Q80" s="19">
        <v>0.66736111111111107</v>
      </c>
      <c r="R80">
        <v>7.3300000000000004E-2</v>
      </c>
      <c r="S80">
        <v>7.3300000000000004E-2</v>
      </c>
      <c r="T80">
        <v>7.2999999999999995E-2</v>
      </c>
      <c r="AC80" t="s">
        <v>179</v>
      </c>
      <c r="AD80" s="18">
        <v>39282</v>
      </c>
      <c r="AE80" s="19">
        <v>0.67361111111111116</v>
      </c>
      <c r="AF80">
        <v>0.39</v>
      </c>
      <c r="AG80">
        <v>0.39</v>
      </c>
      <c r="AH80">
        <v>0.36699999999999999</v>
      </c>
      <c r="AJ80" t="s">
        <v>180</v>
      </c>
      <c r="AK80" s="18">
        <v>39377</v>
      </c>
      <c r="AL80" s="19">
        <v>0.67013888888888884</v>
      </c>
      <c r="AM80">
        <v>3.3E-3</v>
      </c>
      <c r="AN80">
        <v>3.3E-3</v>
      </c>
      <c r="AO80">
        <v>2E-3</v>
      </c>
      <c r="AQ80" t="s">
        <v>177</v>
      </c>
      <c r="AR80" s="18">
        <v>39303</v>
      </c>
      <c r="AS80" s="19">
        <v>0.68958333333333333</v>
      </c>
      <c r="AT80">
        <v>7.1999999999999998E-3</v>
      </c>
      <c r="AU80">
        <v>8.5000000000000006E-3</v>
      </c>
      <c r="AV80">
        <v>7.0000000000000001E-3</v>
      </c>
      <c r="BL80" t="s">
        <v>179</v>
      </c>
      <c r="BM80" s="18">
        <v>39539</v>
      </c>
      <c r="BN80" s="19">
        <v>0.62361111111111112</v>
      </c>
      <c r="BO80">
        <v>6.4847000000000001</v>
      </c>
      <c r="BP80">
        <v>6.4847000000000001</v>
      </c>
      <c r="BQ80">
        <v>-2.4245362661989844E-14</v>
      </c>
      <c r="BS80" t="s">
        <v>181</v>
      </c>
      <c r="BT80" s="18">
        <v>39282</v>
      </c>
      <c r="BV80">
        <v>-3.0000000000000001E-3</v>
      </c>
      <c r="BW80">
        <v>-2.4245362661989844E-14</v>
      </c>
      <c r="BX80">
        <v>-2.4245362661989844E-14</v>
      </c>
      <c r="BZ80" t="s">
        <v>181</v>
      </c>
      <c r="CA80" s="18">
        <v>39282</v>
      </c>
      <c r="CB80" s="19">
        <v>0.67708333333333337</v>
      </c>
      <c r="CC80">
        <v>-0.86</v>
      </c>
      <c r="CD80">
        <v>-0.86</v>
      </c>
      <c r="CE80">
        <v>-0.82699999999999996</v>
      </c>
      <c r="CG80" t="s">
        <v>180</v>
      </c>
      <c r="CH80" s="18">
        <v>39261</v>
      </c>
      <c r="CI80" s="19">
        <v>0.6694444444444444</v>
      </c>
      <c r="CJ80">
        <v>-0.28000000000000003</v>
      </c>
      <c r="CK80">
        <v>-0.3049</v>
      </c>
      <c r="CL80">
        <v>-0.246</v>
      </c>
      <c r="CN80" t="s">
        <v>181</v>
      </c>
      <c r="CO80" s="18">
        <v>39290</v>
      </c>
      <c r="CQ80">
        <v>8.8999999999999996E-2</v>
      </c>
      <c r="CR80">
        <v>0.09</v>
      </c>
      <c r="CS80">
        <v>0.122</v>
      </c>
      <c r="DP80" t="s">
        <v>179</v>
      </c>
      <c r="DQ80" s="18">
        <v>39301</v>
      </c>
      <c r="DR80" t="s">
        <v>164</v>
      </c>
      <c r="DS80">
        <v>1.4E-2</v>
      </c>
      <c r="DT80">
        <v>1.6E-2</v>
      </c>
      <c r="DU80">
        <v>1.2E-2</v>
      </c>
      <c r="DW80" t="s">
        <v>178</v>
      </c>
      <c r="DX80" s="18">
        <v>39345</v>
      </c>
      <c r="DY80" s="19">
        <v>0.66874999999999996</v>
      </c>
      <c r="DZ80">
        <v>0.21</v>
      </c>
      <c r="EA80">
        <v>0.22</v>
      </c>
      <c r="EB80">
        <v>0.20899999999999999</v>
      </c>
      <c r="ED80" t="s">
        <v>177</v>
      </c>
      <c r="EE80" s="18">
        <v>39309</v>
      </c>
      <c r="EF80" t="s">
        <v>164</v>
      </c>
      <c r="EG80">
        <v>7.4999999999999997E-3</v>
      </c>
      <c r="EH80">
        <v>2.2499999999999999E-2</v>
      </c>
      <c r="EI80">
        <v>2.4E-2</v>
      </c>
      <c r="EK80" t="s">
        <v>180</v>
      </c>
      <c r="EL80" s="18">
        <v>39342</v>
      </c>
      <c r="EM80" s="19">
        <v>0.67013888888888884</v>
      </c>
      <c r="EN80">
        <v>0.4</v>
      </c>
      <c r="EO80">
        <v>0.45</v>
      </c>
      <c r="EP80">
        <v>0.40400000000000003</v>
      </c>
      <c r="EY80" t="s">
        <v>181</v>
      </c>
      <c r="EZ80" s="18">
        <v>39287</v>
      </c>
      <c r="FA80" s="19">
        <v>0.25</v>
      </c>
      <c r="FB80">
        <v>0.9</v>
      </c>
      <c r="FC80">
        <v>0.9</v>
      </c>
      <c r="FD80">
        <v>0.82499999999999996</v>
      </c>
      <c r="FF80" t="s">
        <v>180</v>
      </c>
      <c r="FG80" s="18">
        <v>39373</v>
      </c>
      <c r="FH80" s="19">
        <v>0.25</v>
      </c>
      <c r="FI80">
        <v>0.95</v>
      </c>
      <c r="FJ80">
        <v>0.95</v>
      </c>
      <c r="FK80">
        <v>0.92600000000000005</v>
      </c>
      <c r="FM80" t="s">
        <v>175</v>
      </c>
      <c r="FN80" s="18">
        <v>39828</v>
      </c>
      <c r="FO80" s="19">
        <v>0.27083333333333331</v>
      </c>
      <c r="FP80">
        <v>-0.09</v>
      </c>
      <c r="FQ80">
        <v>7.0000000000000007E-2</v>
      </c>
      <c r="FR80">
        <v>-1E-3</v>
      </c>
      <c r="FT80" t="s">
        <v>179</v>
      </c>
      <c r="FU80" s="18">
        <v>39365</v>
      </c>
      <c r="FV80" s="19">
        <v>0.12569444444444444</v>
      </c>
      <c r="FW80">
        <v>0.91</v>
      </c>
      <c r="FX80">
        <v>0.90969999999999995</v>
      </c>
      <c r="FY80">
        <v>0.83099999999999996</v>
      </c>
      <c r="GA80" t="s">
        <v>181</v>
      </c>
      <c r="GB80" s="18">
        <v>39289</v>
      </c>
      <c r="GC80" s="19">
        <v>0.3840277777777778</v>
      </c>
      <c r="GD80">
        <v>1.83</v>
      </c>
      <c r="GE80">
        <v>1.83</v>
      </c>
      <c r="GF80">
        <v>1.952</v>
      </c>
    </row>
    <row r="81" spans="1:188" x14ac:dyDescent="0.3">
      <c r="A81" t="s">
        <v>181</v>
      </c>
      <c r="B81">
        <v>39197</v>
      </c>
      <c r="C81" s="19">
        <v>0.6875</v>
      </c>
      <c r="D81">
        <v>3.1099999999999999E-2</v>
      </c>
      <c r="E81">
        <v>3.1099999999999999E-2</v>
      </c>
      <c r="F81">
        <v>2.3E-2</v>
      </c>
      <c r="H81" t="s">
        <v>182</v>
      </c>
      <c r="I81" s="18">
        <v>39196</v>
      </c>
      <c r="J81" s="19">
        <v>0.66736111111111107</v>
      </c>
      <c r="K81">
        <v>1.2999999999999999E-2</v>
      </c>
      <c r="L81">
        <v>1.2999999999999999E-2</v>
      </c>
      <c r="M81">
        <v>8.0000000000000002E-3</v>
      </c>
      <c r="O81" t="s">
        <v>182</v>
      </c>
      <c r="P81" s="18">
        <v>39191</v>
      </c>
      <c r="Q81" s="19">
        <v>0.66736111111111107</v>
      </c>
      <c r="R81">
        <v>7.9500000000000001E-2</v>
      </c>
      <c r="S81">
        <v>7.9500000000000001E-2</v>
      </c>
      <c r="T81">
        <v>7.1999999999999995E-2</v>
      </c>
      <c r="AC81" t="s">
        <v>180</v>
      </c>
      <c r="AD81" s="18">
        <v>39198</v>
      </c>
      <c r="AE81" s="19">
        <v>0.67361111111111116</v>
      </c>
      <c r="AF81">
        <v>0.49</v>
      </c>
      <c r="AG81">
        <v>0.49</v>
      </c>
      <c r="AH81">
        <v>0.46</v>
      </c>
      <c r="AJ81" t="s">
        <v>181</v>
      </c>
      <c r="AK81" s="18">
        <v>39286</v>
      </c>
      <c r="AL81" s="19">
        <v>0.67013888888888884</v>
      </c>
      <c r="AM81">
        <v>5.3E-3</v>
      </c>
      <c r="AN81">
        <v>5.3E-3</v>
      </c>
      <c r="AO81">
        <v>3.0000000000000001E-3</v>
      </c>
      <c r="AQ81" t="s">
        <v>178</v>
      </c>
      <c r="AR81" s="18">
        <v>39212</v>
      </c>
      <c r="AS81" s="19">
        <v>0.68958333333333333</v>
      </c>
      <c r="AT81">
        <v>5.4999999999999997E-3</v>
      </c>
      <c r="AU81">
        <v>7.0000000000000001E-3</v>
      </c>
      <c r="AV81">
        <v>7.0000000000000001E-3</v>
      </c>
      <c r="BL81" t="s">
        <v>270</v>
      </c>
      <c r="BM81" s="18">
        <v>39314</v>
      </c>
      <c r="BO81">
        <v>8.3233999999999995</v>
      </c>
      <c r="BP81">
        <v>8.3163</v>
      </c>
      <c r="BQ81">
        <v>-2.4245362661989844E-14</v>
      </c>
      <c r="BS81" t="s">
        <v>182</v>
      </c>
      <c r="BT81" s="18">
        <v>39147</v>
      </c>
      <c r="BV81">
        <v>-2.4245362661989844E-14</v>
      </c>
      <c r="BW81">
        <v>-2.4245362661989844E-14</v>
      </c>
      <c r="BX81">
        <v>-2.4245362661989844E-14</v>
      </c>
      <c r="BZ81" t="s">
        <v>182</v>
      </c>
      <c r="CA81" s="18">
        <v>39191</v>
      </c>
      <c r="CB81" s="19">
        <v>0.67708333333333337</v>
      </c>
      <c r="CC81">
        <v>-0.9</v>
      </c>
      <c r="CD81">
        <v>-0.85</v>
      </c>
      <c r="CE81">
        <v>-0.50700000000000001</v>
      </c>
      <c r="CG81" t="s">
        <v>181</v>
      </c>
      <c r="CH81" s="18">
        <v>39176</v>
      </c>
      <c r="CI81" s="19">
        <v>0.66805555555555551</v>
      </c>
      <c r="CJ81">
        <v>-7.0000000000000007E-2</v>
      </c>
      <c r="CK81">
        <v>-6.8900000000000003E-2</v>
      </c>
      <c r="CL81">
        <v>-1.2E-2</v>
      </c>
      <c r="CN81" t="s">
        <v>182</v>
      </c>
      <c r="CO81" s="18">
        <v>39209</v>
      </c>
      <c r="CQ81">
        <v>7.9000000000000001E-2</v>
      </c>
      <c r="CR81">
        <v>7.4999999999999997E-2</v>
      </c>
      <c r="CS81">
        <v>0.129</v>
      </c>
      <c r="DP81" t="s">
        <v>180</v>
      </c>
      <c r="DQ81" s="18">
        <v>39211</v>
      </c>
      <c r="DS81">
        <v>1.2999999999999999E-2</v>
      </c>
      <c r="DT81">
        <v>1.4E-2</v>
      </c>
      <c r="DU81">
        <v>1.2E-2</v>
      </c>
      <c r="DW81" t="s">
        <v>179</v>
      </c>
      <c r="DX81" s="18">
        <v>39259</v>
      </c>
      <c r="DY81" s="19">
        <v>0.67083333333333328</v>
      </c>
      <c r="DZ81">
        <v>0.36</v>
      </c>
      <c r="EA81">
        <v>0.37</v>
      </c>
      <c r="EB81">
        <v>0.34699999999999998</v>
      </c>
      <c r="ED81" t="s">
        <v>178</v>
      </c>
      <c r="EE81" s="18">
        <v>39218</v>
      </c>
      <c r="EF81" t="s">
        <v>164</v>
      </c>
      <c r="EG81">
        <v>2.5000000000000001E-3</v>
      </c>
      <c r="EH81">
        <v>0.02</v>
      </c>
      <c r="EI81">
        <v>1.9E-2</v>
      </c>
      <c r="EK81" t="s">
        <v>181</v>
      </c>
      <c r="EL81" s="18">
        <v>39247</v>
      </c>
      <c r="EM81" s="19">
        <v>0.67013888888888884</v>
      </c>
      <c r="EN81">
        <v>0.32</v>
      </c>
      <c r="EO81">
        <v>0.37</v>
      </c>
      <c r="EP81">
        <v>0.35099999999999998</v>
      </c>
      <c r="EY81" t="s">
        <v>182</v>
      </c>
      <c r="EZ81" s="18">
        <v>39188</v>
      </c>
      <c r="FA81" s="19">
        <v>0.25</v>
      </c>
      <c r="FB81">
        <v>0.84</v>
      </c>
      <c r="FC81">
        <v>0.84</v>
      </c>
      <c r="FD81">
        <v>0.79500000000000004</v>
      </c>
      <c r="FF81" t="s">
        <v>181</v>
      </c>
      <c r="FG81" s="18">
        <v>39282</v>
      </c>
      <c r="FH81" s="19">
        <v>0.25</v>
      </c>
      <c r="FI81">
        <v>0.89</v>
      </c>
      <c r="FJ81">
        <v>0.89</v>
      </c>
      <c r="FK81">
        <v>0.81200000000000006</v>
      </c>
      <c r="FM81" t="s">
        <v>176</v>
      </c>
      <c r="FN81" s="18">
        <v>39736</v>
      </c>
      <c r="FO81" s="19">
        <v>0.29097222222222224</v>
      </c>
      <c r="FP81">
        <v>0.28000000000000003</v>
      </c>
      <c r="FQ81">
        <v>0.11</v>
      </c>
      <c r="FR81">
        <v>-0.21299999999999999</v>
      </c>
      <c r="FT81" t="s">
        <v>180</v>
      </c>
      <c r="FU81" s="18">
        <v>39233</v>
      </c>
      <c r="FV81" s="19">
        <v>0.12569444444444444</v>
      </c>
      <c r="FW81">
        <v>0.56000000000000005</v>
      </c>
      <c r="FX81">
        <v>0.55910000000000004</v>
      </c>
      <c r="FY81">
        <v>0.55900000000000005</v>
      </c>
      <c r="GA81" t="s">
        <v>182</v>
      </c>
      <c r="GB81" s="18">
        <v>39198</v>
      </c>
      <c r="GC81" s="19">
        <v>0.37708333333333333</v>
      </c>
      <c r="GD81">
        <v>1.62</v>
      </c>
      <c r="GE81">
        <v>1.62</v>
      </c>
      <c r="GF81">
        <v>1.542</v>
      </c>
    </row>
    <row r="82" spans="1:188" x14ac:dyDescent="0.3">
      <c r="A82" t="s">
        <v>182</v>
      </c>
      <c r="B82">
        <v>39099</v>
      </c>
      <c r="C82" s="19">
        <v>0.6875</v>
      </c>
      <c r="D82">
        <v>4.07E-2</v>
      </c>
      <c r="E82">
        <v>4.07E-2</v>
      </c>
      <c r="F82">
        <v>2.8000000000000001E-2</v>
      </c>
      <c r="H82" t="s">
        <v>183</v>
      </c>
      <c r="I82" s="18">
        <v>39114</v>
      </c>
      <c r="J82" t="s">
        <v>144</v>
      </c>
      <c r="K82">
        <v>1.15E-2</v>
      </c>
      <c r="L82">
        <v>1.15E-2</v>
      </c>
      <c r="M82">
        <v>1.0999999999999999E-2</v>
      </c>
      <c r="O82" t="s">
        <v>183</v>
      </c>
      <c r="P82" s="18">
        <v>39113</v>
      </c>
      <c r="Q82" s="19">
        <v>0.66805555555555551</v>
      </c>
      <c r="R82">
        <v>8.2299999999999998E-2</v>
      </c>
      <c r="S82">
        <v>8.2299999999999998E-2</v>
      </c>
      <c r="T82">
        <v>6.5000000000000002E-2</v>
      </c>
      <c r="AC82" t="s">
        <v>181</v>
      </c>
      <c r="AD82" s="18">
        <v>39107</v>
      </c>
      <c r="AE82" s="19">
        <v>0.67361111111111116</v>
      </c>
      <c r="AF82">
        <v>0.26</v>
      </c>
      <c r="AG82">
        <v>0.26</v>
      </c>
      <c r="AH82">
        <v>0.26200000000000001</v>
      </c>
      <c r="AJ82" t="s">
        <v>182</v>
      </c>
      <c r="AK82" s="18">
        <v>39190</v>
      </c>
      <c r="AL82" s="19">
        <v>0.33333333333333331</v>
      </c>
      <c r="AM82">
        <v>2E-3</v>
      </c>
      <c r="AN82">
        <v>2E-3</v>
      </c>
      <c r="AO82">
        <v>2E-3</v>
      </c>
      <c r="AQ82" t="s">
        <v>179</v>
      </c>
      <c r="AR82" s="18">
        <v>39126</v>
      </c>
      <c r="AS82" s="19">
        <v>0.69722222222222219</v>
      </c>
      <c r="AT82">
        <v>7.3000000000000001E-3</v>
      </c>
      <c r="AU82">
        <v>8.8000000000000005E-3</v>
      </c>
      <c r="AV82">
        <v>7.0000000000000001E-3</v>
      </c>
      <c r="BL82" t="s">
        <v>181</v>
      </c>
      <c r="BM82" s="18">
        <v>39314</v>
      </c>
      <c r="BO82">
        <v>4.7522000000000002</v>
      </c>
      <c r="BP82">
        <v>4.7522000000000002</v>
      </c>
      <c r="BQ82">
        <v>4.8250000000000002</v>
      </c>
      <c r="BS82" t="s">
        <v>213</v>
      </c>
      <c r="BT82" s="18">
        <v>38756</v>
      </c>
      <c r="BV82">
        <v>-2.4245362661989844E-14</v>
      </c>
      <c r="BW82">
        <v>-2.4245362661989844E-14</v>
      </c>
      <c r="BX82">
        <v>-2.4245362661989844E-14</v>
      </c>
      <c r="BZ82" t="s">
        <v>183</v>
      </c>
      <c r="CA82" s="18">
        <v>39105</v>
      </c>
      <c r="CB82" s="19">
        <v>0.68125000000000002</v>
      </c>
      <c r="CC82">
        <v>-0.04</v>
      </c>
      <c r="CD82">
        <v>0.01</v>
      </c>
      <c r="CE82">
        <v>0.15</v>
      </c>
      <c r="CG82" t="s">
        <v>182</v>
      </c>
      <c r="CH82" s="18">
        <v>39072</v>
      </c>
      <c r="CI82" s="19">
        <v>0.67986111111111114</v>
      </c>
      <c r="CJ82">
        <v>0.12</v>
      </c>
      <c r="CK82">
        <v>0.23</v>
      </c>
      <c r="CL82">
        <v>0.219</v>
      </c>
      <c r="CN82" t="s">
        <v>183</v>
      </c>
      <c r="CO82" s="18">
        <v>39108</v>
      </c>
      <c r="CQ82">
        <v>0.16800000000000001</v>
      </c>
      <c r="CR82">
        <v>0.16600000000000001</v>
      </c>
      <c r="CS82">
        <v>0.158</v>
      </c>
      <c r="DW82" t="s">
        <v>180</v>
      </c>
      <c r="DX82" s="18">
        <v>39161</v>
      </c>
      <c r="DY82" s="19">
        <v>0.67083333333333328</v>
      </c>
      <c r="DZ82">
        <v>0.24</v>
      </c>
      <c r="EA82">
        <v>0.251</v>
      </c>
      <c r="EB82">
        <v>0.223</v>
      </c>
      <c r="ED82" t="s">
        <v>179</v>
      </c>
      <c r="EE82" s="18">
        <v>39134</v>
      </c>
      <c r="EF82" t="s">
        <v>164</v>
      </c>
      <c r="EG82">
        <v>0</v>
      </c>
      <c r="EH82">
        <v>2.2499999999999999E-2</v>
      </c>
      <c r="EI82">
        <v>1.7000000000000001E-2</v>
      </c>
      <c r="EK82" t="s">
        <v>182</v>
      </c>
      <c r="EL82" s="18">
        <v>39161</v>
      </c>
      <c r="EM82" s="19">
        <v>0.67708333333333337</v>
      </c>
      <c r="EN82">
        <v>0.27350000000000002</v>
      </c>
      <c r="EO82">
        <v>0.30399999999999999</v>
      </c>
      <c r="EP82">
        <v>0.29099999999999998</v>
      </c>
      <c r="EY82" t="s">
        <v>183</v>
      </c>
      <c r="EZ82" s="18">
        <v>39113</v>
      </c>
      <c r="FA82" t="s">
        <v>144</v>
      </c>
      <c r="FB82">
        <v>0.85</v>
      </c>
      <c r="FC82">
        <v>0.85</v>
      </c>
      <c r="FD82">
        <v>0.81699999999999995</v>
      </c>
      <c r="FF82" t="s">
        <v>182</v>
      </c>
      <c r="FG82" s="18">
        <v>39191</v>
      </c>
      <c r="FH82" s="19">
        <v>0.25</v>
      </c>
      <c r="FI82">
        <v>0.74</v>
      </c>
      <c r="FJ82">
        <v>0.74</v>
      </c>
      <c r="FK82">
        <v>0.71299999999999997</v>
      </c>
      <c r="FM82" t="s">
        <v>177</v>
      </c>
      <c r="FN82" s="18">
        <v>39646</v>
      </c>
      <c r="FO82" s="19">
        <v>0.27083333333333331</v>
      </c>
      <c r="FP82">
        <v>0.54</v>
      </c>
      <c r="FQ82">
        <v>0.54</v>
      </c>
      <c r="FR82">
        <v>0.48299999999999998</v>
      </c>
      <c r="FT82" t="s">
        <v>181</v>
      </c>
      <c r="FU82" s="18">
        <v>39149</v>
      </c>
      <c r="FV82" s="19">
        <v>0.12569444444444444</v>
      </c>
      <c r="FW82">
        <v>0.6</v>
      </c>
      <c r="FX82">
        <v>0.59889999999999999</v>
      </c>
      <c r="FY82">
        <v>0.66700000000000004</v>
      </c>
      <c r="GA82" t="s">
        <v>183</v>
      </c>
      <c r="GB82" s="18">
        <v>39114</v>
      </c>
      <c r="GD82">
        <v>1.7665999999999999</v>
      </c>
      <c r="GE82">
        <v>1.69</v>
      </c>
      <c r="GF82">
        <v>1.5069999999999999</v>
      </c>
    </row>
    <row r="83" spans="1:188" x14ac:dyDescent="0.3">
      <c r="A83" t="s">
        <v>183</v>
      </c>
      <c r="B83">
        <v>39008</v>
      </c>
      <c r="C83" t="s">
        <v>164</v>
      </c>
      <c r="D83">
        <v>2.2100000000000002E-2</v>
      </c>
      <c r="E83">
        <v>2.2100000000000002E-2</v>
      </c>
      <c r="F83">
        <v>1.7999999999999999E-2</v>
      </c>
      <c r="H83" t="s">
        <v>184</v>
      </c>
      <c r="I83" s="18">
        <v>39014</v>
      </c>
      <c r="K83">
        <v>2.5000000000000001E-3</v>
      </c>
      <c r="L83">
        <v>2.5000000000000001E-3</v>
      </c>
      <c r="M83">
        <v>2E-3</v>
      </c>
      <c r="O83" t="s">
        <v>184</v>
      </c>
      <c r="P83" s="18">
        <v>39009</v>
      </c>
      <c r="Q83" t="s">
        <v>164</v>
      </c>
      <c r="R83">
        <v>5.8999999999999997E-2</v>
      </c>
      <c r="S83">
        <v>5.8999999999999997E-2</v>
      </c>
      <c r="T83">
        <v>5.2999999999999999E-2</v>
      </c>
      <c r="AC83" t="s">
        <v>182</v>
      </c>
      <c r="AD83" s="18">
        <v>39016</v>
      </c>
      <c r="AF83">
        <v>0.35</v>
      </c>
      <c r="AG83">
        <v>0.35</v>
      </c>
      <c r="AH83">
        <v>0.315</v>
      </c>
      <c r="AJ83" t="s">
        <v>183</v>
      </c>
      <c r="AK83" s="18">
        <v>39106</v>
      </c>
      <c r="AL83" s="19">
        <v>0.67013888888888884</v>
      </c>
      <c r="AM83">
        <v>3.0000000000000001E-3</v>
      </c>
      <c r="AN83">
        <v>3.0000000000000001E-3</v>
      </c>
      <c r="AO83">
        <v>2E-3</v>
      </c>
      <c r="AQ83" t="s">
        <v>180</v>
      </c>
      <c r="AR83" s="18">
        <v>39030</v>
      </c>
      <c r="AT83">
        <v>3.5000000000000001E-3</v>
      </c>
      <c r="AU83">
        <v>6.4999999999999997E-3</v>
      </c>
      <c r="AV83">
        <v>5.0000000000000001E-3</v>
      </c>
      <c r="BL83" t="s">
        <v>182</v>
      </c>
      <c r="BM83" s="18">
        <v>39199</v>
      </c>
      <c r="BO83">
        <v>-2.4245362661989844E-14</v>
      </c>
      <c r="BP83">
        <v>3.4971000000000001</v>
      </c>
      <c r="BQ83">
        <v>3.4660000000000002</v>
      </c>
      <c r="BS83" t="s">
        <v>184</v>
      </c>
      <c r="BT83" s="18">
        <v>39009</v>
      </c>
      <c r="BV83">
        <v>-2.4245362661989844E-14</v>
      </c>
      <c r="BW83">
        <v>-2.4245362661989844E-14</v>
      </c>
      <c r="BX83">
        <v>-2.4245362661989844E-14</v>
      </c>
      <c r="BZ83" t="s">
        <v>184</v>
      </c>
      <c r="CA83" s="18">
        <v>39008</v>
      </c>
      <c r="CB83" t="s">
        <v>164</v>
      </c>
      <c r="CC83">
        <v>0.27</v>
      </c>
      <c r="CD83">
        <v>0.27</v>
      </c>
      <c r="CE83">
        <v>0.23499999999999999</v>
      </c>
      <c r="CG83" t="s">
        <v>183</v>
      </c>
      <c r="CH83" s="18">
        <v>38995</v>
      </c>
      <c r="CJ83">
        <v>0.12</v>
      </c>
      <c r="CK83">
        <v>0.12</v>
      </c>
      <c r="CL83">
        <v>0.15</v>
      </c>
      <c r="CN83" t="s">
        <v>184</v>
      </c>
      <c r="CO83" s="18">
        <v>39016</v>
      </c>
      <c r="CQ83">
        <v>0.127</v>
      </c>
      <c r="CR83">
        <v>0.127</v>
      </c>
      <c r="CS83">
        <v>0.12</v>
      </c>
      <c r="DW83" t="s">
        <v>181</v>
      </c>
      <c r="DX83" s="18">
        <v>39069</v>
      </c>
      <c r="DY83" t="s">
        <v>164</v>
      </c>
      <c r="DZ83">
        <v>0.22</v>
      </c>
      <c r="EA83">
        <v>0.22</v>
      </c>
      <c r="EB83">
        <v>0.222</v>
      </c>
      <c r="ED83" t="s">
        <v>180</v>
      </c>
      <c r="EE83" s="18">
        <v>39036</v>
      </c>
      <c r="EF83" t="s">
        <v>164</v>
      </c>
      <c r="EG83">
        <v>0</v>
      </c>
      <c r="EH83">
        <v>1.4999999999999999E-2</v>
      </c>
      <c r="EI83">
        <v>1.4E-2</v>
      </c>
      <c r="EK83" t="s">
        <v>183</v>
      </c>
      <c r="EL83" s="18">
        <v>39065</v>
      </c>
      <c r="EM83" t="s">
        <v>164</v>
      </c>
      <c r="EN83">
        <v>0.29920000000000002</v>
      </c>
      <c r="EO83">
        <v>0.33</v>
      </c>
      <c r="EP83">
        <v>0.32500000000000001</v>
      </c>
      <c r="EY83" t="s">
        <v>184</v>
      </c>
      <c r="EZ83" s="18">
        <v>39009</v>
      </c>
      <c r="FA83" t="s">
        <v>144</v>
      </c>
      <c r="FB83">
        <v>0.8</v>
      </c>
      <c r="FC83">
        <v>0.8</v>
      </c>
      <c r="FD83">
        <v>0.79500000000000004</v>
      </c>
      <c r="FF83" t="s">
        <v>183</v>
      </c>
      <c r="FG83" s="18">
        <v>39100</v>
      </c>
      <c r="FI83">
        <v>0.84</v>
      </c>
      <c r="FJ83">
        <v>0.84</v>
      </c>
      <c r="FK83">
        <v>0.85099999999999998</v>
      </c>
      <c r="FM83" t="s">
        <v>178</v>
      </c>
      <c r="FN83" s="18">
        <v>39554</v>
      </c>
      <c r="FO83" s="19">
        <v>0.29097222222222224</v>
      </c>
      <c r="FP83">
        <v>0.27</v>
      </c>
      <c r="FQ83">
        <v>0.68</v>
      </c>
      <c r="FR83">
        <v>0.67800000000000005</v>
      </c>
      <c r="FT83" t="s">
        <v>182</v>
      </c>
      <c r="FU83" s="18">
        <v>39065</v>
      </c>
      <c r="FV83" t="s">
        <v>144</v>
      </c>
      <c r="FW83">
        <v>0.52</v>
      </c>
      <c r="FX83">
        <v>0.52</v>
      </c>
      <c r="FY83">
        <v>0.505</v>
      </c>
      <c r="GA83" t="s">
        <v>184</v>
      </c>
      <c r="GB83" s="18">
        <v>39016</v>
      </c>
      <c r="GD83">
        <v>1.77</v>
      </c>
      <c r="GE83">
        <v>1.77</v>
      </c>
      <c r="GF83">
        <v>1.589</v>
      </c>
    </row>
    <row r="84" spans="1:188" x14ac:dyDescent="0.3">
      <c r="A84" t="s">
        <v>184</v>
      </c>
      <c r="B84">
        <v>38917</v>
      </c>
      <c r="C84" t="s">
        <v>164</v>
      </c>
      <c r="D84">
        <v>1.9300000000000001E-2</v>
      </c>
      <c r="E84">
        <v>1.9300000000000001E-2</v>
      </c>
      <c r="F84">
        <v>1.7000000000000001E-2</v>
      </c>
      <c r="H84" t="s">
        <v>185</v>
      </c>
      <c r="I84" s="18">
        <v>38923</v>
      </c>
      <c r="K84">
        <v>2.5000000000000001E-3</v>
      </c>
      <c r="L84">
        <v>2.5000000000000001E-3</v>
      </c>
      <c r="M84">
        <v>4.0000000000000001E-3</v>
      </c>
      <c r="O84" t="s">
        <v>185</v>
      </c>
      <c r="P84" s="18">
        <v>38918</v>
      </c>
      <c r="R84">
        <v>5.8299999999999998E-2</v>
      </c>
      <c r="S84">
        <v>5.8299999999999998E-2</v>
      </c>
      <c r="T84">
        <v>4.8000000000000001E-2</v>
      </c>
      <c r="AC84" t="s">
        <v>183</v>
      </c>
      <c r="AD84" s="18">
        <v>38918</v>
      </c>
      <c r="AE84" t="s">
        <v>164</v>
      </c>
      <c r="AF84">
        <v>0.27460000000000001</v>
      </c>
      <c r="AG84">
        <v>0.31</v>
      </c>
      <c r="AH84">
        <v>0.316</v>
      </c>
      <c r="AJ84" t="s">
        <v>184</v>
      </c>
      <c r="AK84" s="18">
        <v>39013</v>
      </c>
      <c r="AL84" s="19">
        <v>0.67013888888888884</v>
      </c>
      <c r="AM84">
        <v>2.5999999999999999E-3</v>
      </c>
      <c r="AN84">
        <v>2.5999999999999999E-3</v>
      </c>
      <c r="AO84">
        <v>2E-3</v>
      </c>
      <c r="AQ84" t="s">
        <v>181</v>
      </c>
      <c r="AR84" s="18">
        <v>38939</v>
      </c>
      <c r="AT84">
        <v>3.7000000000000002E-3</v>
      </c>
      <c r="AU84">
        <v>3.7000000000000002E-3</v>
      </c>
      <c r="AV84">
        <v>5.0000000000000001E-3</v>
      </c>
      <c r="BL84" t="s">
        <v>213</v>
      </c>
      <c r="BM84" s="18">
        <v>39107</v>
      </c>
      <c r="BO84">
        <v>24.1968</v>
      </c>
      <c r="BP84">
        <v>23.951599999999999</v>
      </c>
      <c r="BQ84">
        <v>23.594000000000001</v>
      </c>
      <c r="BS84" t="s">
        <v>214</v>
      </c>
      <c r="BT84" s="18">
        <v>38918</v>
      </c>
      <c r="BV84">
        <v>-2.4245362661989844E-14</v>
      </c>
      <c r="BW84">
        <v>-2.4245362661989844E-14</v>
      </c>
      <c r="BX84">
        <v>-2.4245362661989844E-14</v>
      </c>
      <c r="BZ84" t="s">
        <v>185</v>
      </c>
      <c r="CA84" s="18">
        <v>38918</v>
      </c>
      <c r="CB84" t="s">
        <v>164</v>
      </c>
      <c r="CC84">
        <v>0.16</v>
      </c>
      <c r="CD84">
        <v>0.16</v>
      </c>
      <c r="CE84">
        <v>0.23300000000000001</v>
      </c>
      <c r="CG84" t="s">
        <v>184</v>
      </c>
      <c r="CH84" s="18">
        <v>38896</v>
      </c>
      <c r="CI84" t="s">
        <v>164</v>
      </c>
      <c r="CJ84">
        <v>0.12</v>
      </c>
      <c r="CK84">
        <v>0.12</v>
      </c>
      <c r="CL84">
        <v>8.4000000000000005E-2</v>
      </c>
      <c r="CN84" t="s">
        <v>185</v>
      </c>
      <c r="CO84" s="18">
        <v>38926</v>
      </c>
      <c r="CQ84">
        <v>0.121</v>
      </c>
      <c r="CR84">
        <v>0.121</v>
      </c>
      <c r="CS84">
        <v>0.123</v>
      </c>
      <c r="DW84" t="s">
        <v>182</v>
      </c>
      <c r="DX84" s="18">
        <v>38979</v>
      </c>
      <c r="DY84" t="s">
        <v>164</v>
      </c>
      <c r="DZ84">
        <v>0.17</v>
      </c>
      <c r="EA84">
        <v>0.18</v>
      </c>
      <c r="EB84">
        <v>0.158</v>
      </c>
      <c r="ED84" t="s">
        <v>181</v>
      </c>
      <c r="EE84" s="18">
        <v>38945</v>
      </c>
      <c r="EF84" t="s">
        <v>164</v>
      </c>
      <c r="EG84">
        <v>0</v>
      </c>
      <c r="EH84">
        <v>1.4999999999999999E-2</v>
      </c>
      <c r="EI84">
        <v>8.9999999999999993E-3</v>
      </c>
      <c r="EK84" t="s">
        <v>184</v>
      </c>
      <c r="EL84" s="18">
        <v>38974</v>
      </c>
      <c r="EM84" t="s">
        <v>164</v>
      </c>
      <c r="EN84">
        <v>0.24</v>
      </c>
      <c r="EO84">
        <v>0.28999999999999998</v>
      </c>
      <c r="EP84">
        <v>0.255</v>
      </c>
      <c r="EY84" t="s">
        <v>185</v>
      </c>
      <c r="EZ84" s="18">
        <v>38919</v>
      </c>
      <c r="FA84" t="s">
        <v>144</v>
      </c>
      <c r="FB84">
        <v>0.76</v>
      </c>
      <c r="FC84">
        <v>0.76</v>
      </c>
      <c r="FD84">
        <v>0.75600000000000001</v>
      </c>
      <c r="FF84" t="s">
        <v>184</v>
      </c>
      <c r="FG84" s="18">
        <v>39009</v>
      </c>
      <c r="FH84" t="s">
        <v>144</v>
      </c>
      <c r="FI84">
        <v>0.8</v>
      </c>
      <c r="FJ84">
        <v>0.8</v>
      </c>
      <c r="FK84">
        <v>0.76200000000000001</v>
      </c>
      <c r="FM84" t="s">
        <v>179</v>
      </c>
      <c r="FN84" s="18">
        <v>39463</v>
      </c>
      <c r="FO84" s="19">
        <v>0.29097222222222224</v>
      </c>
      <c r="FP84">
        <v>0.86</v>
      </c>
      <c r="FQ84">
        <v>0.86</v>
      </c>
      <c r="FR84">
        <v>0.879</v>
      </c>
      <c r="FT84" t="s">
        <v>183</v>
      </c>
      <c r="FU84" s="18">
        <v>39002</v>
      </c>
      <c r="FV84" t="s">
        <v>144</v>
      </c>
      <c r="FW84">
        <v>0.75</v>
      </c>
      <c r="FX84">
        <v>0.75</v>
      </c>
      <c r="FY84">
        <v>0.72899999999999998</v>
      </c>
      <c r="GA84" t="s">
        <v>185</v>
      </c>
      <c r="GB84" s="18">
        <v>38925</v>
      </c>
      <c r="GC84" s="19">
        <v>0.33333333333333331</v>
      </c>
      <c r="GD84">
        <v>1.72</v>
      </c>
      <c r="GE84">
        <v>1.72</v>
      </c>
      <c r="GF84">
        <v>1.5860000000000001</v>
      </c>
    </row>
    <row r="85" spans="1:188" x14ac:dyDescent="0.3">
      <c r="A85" t="s">
        <v>185</v>
      </c>
      <c r="B85">
        <v>38826</v>
      </c>
      <c r="C85" s="19">
        <v>0.70833333333333337</v>
      </c>
      <c r="D85">
        <v>1.6799999999999999E-2</v>
      </c>
      <c r="E85">
        <v>-2.4245362661989844E-14</v>
      </c>
      <c r="F85">
        <v>1.6E-2</v>
      </c>
      <c r="H85" t="s">
        <v>186</v>
      </c>
      <c r="I85" s="18">
        <v>38832</v>
      </c>
      <c r="K85">
        <v>6.0000000000000001E-3</v>
      </c>
      <c r="L85">
        <v>6.0000000000000001E-3</v>
      </c>
      <c r="M85">
        <v>6.0000000000000001E-3</v>
      </c>
      <c r="O85" t="s">
        <v>186</v>
      </c>
      <c r="P85" s="18">
        <v>38827</v>
      </c>
      <c r="Q85" s="19">
        <v>0.66736111111111107</v>
      </c>
      <c r="R85">
        <v>4.8800000000000003E-2</v>
      </c>
      <c r="S85">
        <v>4.87E-2</v>
      </c>
      <c r="T85">
        <v>4.2999999999999997E-2</v>
      </c>
      <c r="AC85" t="s">
        <v>184</v>
      </c>
      <c r="AD85" s="18">
        <v>38834</v>
      </c>
      <c r="AE85" t="s">
        <v>164</v>
      </c>
      <c r="AF85">
        <v>0.32</v>
      </c>
      <c r="AG85">
        <v>0.32</v>
      </c>
      <c r="AH85">
        <v>0.33400000000000002</v>
      </c>
      <c r="AJ85" t="s">
        <v>185</v>
      </c>
      <c r="AK85" s="18">
        <v>38922</v>
      </c>
      <c r="AL85" s="19">
        <v>0.67013888888888884</v>
      </c>
      <c r="AM85">
        <v>3.5999999999999999E-3</v>
      </c>
      <c r="AN85">
        <v>3.3999999999999998E-3</v>
      </c>
      <c r="AO85">
        <v>2E-3</v>
      </c>
      <c r="AQ85" t="s">
        <v>182</v>
      </c>
      <c r="AR85" s="18">
        <v>38848</v>
      </c>
      <c r="AT85">
        <v>4.7999999999999996E-3</v>
      </c>
      <c r="AU85">
        <v>4.7999999999999996E-3</v>
      </c>
      <c r="AV85">
        <v>5.0000000000000001E-3</v>
      </c>
      <c r="BL85" t="s">
        <v>183</v>
      </c>
      <c r="BM85" s="18">
        <v>39181</v>
      </c>
      <c r="BO85">
        <v>5.3196000000000003</v>
      </c>
      <c r="BP85">
        <v>5.3196000000000003</v>
      </c>
      <c r="BQ85">
        <v>4.5869999999999997</v>
      </c>
      <c r="BS85" t="s">
        <v>186</v>
      </c>
      <c r="BT85" s="18">
        <v>38827</v>
      </c>
      <c r="BV85">
        <v>-2.4245362661989844E-14</v>
      </c>
      <c r="BW85">
        <v>-2.4245362661989844E-14</v>
      </c>
      <c r="BX85">
        <v>-2.4245362661989844E-14</v>
      </c>
      <c r="BZ85" t="s">
        <v>186</v>
      </c>
      <c r="CA85" s="18">
        <v>38819</v>
      </c>
      <c r="CB85" t="s">
        <v>164</v>
      </c>
      <c r="CC85">
        <v>0.41</v>
      </c>
      <c r="CD85">
        <v>0.41</v>
      </c>
      <c r="CE85">
        <v>0.29499999999999998</v>
      </c>
      <c r="CG85" t="s">
        <v>185</v>
      </c>
      <c r="CH85" s="18">
        <v>38817</v>
      </c>
      <c r="CI85" t="s">
        <v>164</v>
      </c>
      <c r="CJ85">
        <v>7.0000000000000007E-2</v>
      </c>
      <c r="CK85">
        <v>7.0000000000000007E-2</v>
      </c>
      <c r="CL85">
        <v>7.1999999999999995E-2</v>
      </c>
      <c r="CN85" t="s">
        <v>186</v>
      </c>
      <c r="CO85" s="18">
        <v>38834</v>
      </c>
      <c r="CP85" t="s">
        <v>164</v>
      </c>
      <c r="CQ85">
        <v>0.105</v>
      </c>
      <c r="CR85">
        <v>0.105</v>
      </c>
      <c r="CS85">
        <v>0.106</v>
      </c>
      <c r="DW85" t="s">
        <v>183</v>
      </c>
      <c r="DX85" s="18">
        <v>38890</v>
      </c>
      <c r="DY85" t="s">
        <v>164</v>
      </c>
      <c r="DZ85">
        <v>0.28999999999999998</v>
      </c>
      <c r="EA85">
        <v>0.28999999999999998</v>
      </c>
      <c r="EB85">
        <v>0.27900000000000003</v>
      </c>
      <c r="ED85" t="s">
        <v>182</v>
      </c>
      <c r="EE85" s="18">
        <v>38854</v>
      </c>
      <c r="EF85" t="s">
        <v>164</v>
      </c>
      <c r="EG85">
        <v>0</v>
      </c>
      <c r="EH85">
        <v>0.01</v>
      </c>
      <c r="EI85">
        <v>8.0000000000000002E-3</v>
      </c>
      <c r="EK85" t="s">
        <v>185</v>
      </c>
      <c r="EL85" s="18">
        <v>38883</v>
      </c>
      <c r="EM85" t="s">
        <v>164</v>
      </c>
      <c r="EN85">
        <v>0.26</v>
      </c>
      <c r="EO85">
        <v>0.31</v>
      </c>
      <c r="EP85">
        <v>0.29399999999999998</v>
      </c>
      <c r="EY85" t="s">
        <v>186</v>
      </c>
      <c r="EZ85" s="18">
        <v>38827</v>
      </c>
      <c r="FA85" t="s">
        <v>144</v>
      </c>
      <c r="FB85">
        <v>0.77</v>
      </c>
      <c r="FC85">
        <v>0.77</v>
      </c>
      <c r="FD85">
        <v>0.751</v>
      </c>
      <c r="FF85" t="s">
        <v>185</v>
      </c>
      <c r="FG85" s="18">
        <v>38917</v>
      </c>
      <c r="FH85" t="s">
        <v>144</v>
      </c>
      <c r="FI85">
        <v>0.7</v>
      </c>
      <c r="FJ85">
        <v>0.7</v>
      </c>
      <c r="FK85">
        <v>0.68400000000000005</v>
      </c>
      <c r="FM85" t="s">
        <v>180</v>
      </c>
      <c r="FN85" s="18">
        <v>39372</v>
      </c>
      <c r="FO85" s="19">
        <v>0.29097222222222224</v>
      </c>
      <c r="FP85">
        <v>0.98</v>
      </c>
      <c r="FQ85">
        <v>0.98</v>
      </c>
      <c r="FR85">
        <v>0.90200000000000002</v>
      </c>
      <c r="FT85" t="s">
        <v>184</v>
      </c>
      <c r="FU85" s="18">
        <v>38868</v>
      </c>
      <c r="FV85" t="s">
        <v>144</v>
      </c>
      <c r="FW85">
        <v>0.49</v>
      </c>
      <c r="FX85">
        <v>0.49</v>
      </c>
      <c r="FY85">
        <v>0.501</v>
      </c>
      <c r="GA85" t="s">
        <v>186</v>
      </c>
      <c r="GB85" s="18">
        <v>38834</v>
      </c>
      <c r="GC85" t="s">
        <v>144</v>
      </c>
      <c r="GD85">
        <v>1.37</v>
      </c>
      <c r="GE85">
        <v>1.37</v>
      </c>
      <c r="GF85">
        <v>1.4510000000000001</v>
      </c>
    </row>
    <row r="86" spans="1:188" x14ac:dyDescent="0.3">
      <c r="A86" t="s">
        <v>186</v>
      </c>
      <c r="B86">
        <v>38735</v>
      </c>
      <c r="C86" t="s">
        <v>164</v>
      </c>
      <c r="D86">
        <v>2.3199999999999998E-2</v>
      </c>
      <c r="E86">
        <v>2.3199999999999998E-2</v>
      </c>
      <c r="F86">
        <v>0.02</v>
      </c>
      <c r="H86" t="s">
        <v>187</v>
      </c>
      <c r="I86" s="18">
        <v>38750</v>
      </c>
      <c r="K86">
        <v>2.35E-2</v>
      </c>
      <c r="L86">
        <v>2.35E-2</v>
      </c>
      <c r="M86">
        <v>1.4999999999999999E-2</v>
      </c>
      <c r="O86" t="s">
        <v>187</v>
      </c>
      <c r="P86" s="18">
        <v>38748</v>
      </c>
      <c r="Q86" s="19">
        <v>0.66805555555555551</v>
      </c>
      <c r="R86">
        <v>3.0499999999999999E-2</v>
      </c>
      <c r="S86">
        <v>3.0499999999999999E-2</v>
      </c>
      <c r="T86">
        <v>4.1000000000000002E-2</v>
      </c>
      <c r="AC86" t="s">
        <v>185</v>
      </c>
      <c r="AD86" s="18">
        <v>38742</v>
      </c>
      <c r="AE86" s="19">
        <v>0.72916666666666663</v>
      </c>
      <c r="AF86">
        <v>0.33</v>
      </c>
      <c r="AG86">
        <v>0.33</v>
      </c>
      <c r="AH86">
        <v>0.33</v>
      </c>
      <c r="AJ86" t="s">
        <v>186</v>
      </c>
      <c r="AK86" s="18">
        <v>38831</v>
      </c>
      <c r="AL86" s="19">
        <v>0.67013888888888884</v>
      </c>
      <c r="AM86">
        <v>1E-3</v>
      </c>
      <c r="AN86">
        <v>1E-3</v>
      </c>
      <c r="AO86">
        <v>0</v>
      </c>
      <c r="AQ86" t="s">
        <v>183</v>
      </c>
      <c r="AR86" s="18">
        <v>38764</v>
      </c>
      <c r="AS86" t="s">
        <v>164</v>
      </c>
      <c r="AT86">
        <v>4.3E-3</v>
      </c>
      <c r="AU86">
        <v>2.2000000000000001E-3</v>
      </c>
      <c r="AV86">
        <v>4.0000000000000001E-3</v>
      </c>
      <c r="BL86" t="s">
        <v>184</v>
      </c>
      <c r="BM86" s="18">
        <v>39019</v>
      </c>
      <c r="BO86">
        <v>-2.4245362661989844E-14</v>
      </c>
      <c r="BP86">
        <v>6.2061999999999999</v>
      </c>
      <c r="BQ86">
        <v>5.867</v>
      </c>
      <c r="BS86" t="s">
        <v>215</v>
      </c>
      <c r="BT86" s="18">
        <v>38743</v>
      </c>
      <c r="BV86">
        <v>-2.4245362661989844E-14</v>
      </c>
      <c r="BW86">
        <v>-2.4245362661989844E-14</v>
      </c>
      <c r="BX86">
        <v>-2.4245362661989844E-14</v>
      </c>
      <c r="BZ86" t="s">
        <v>187</v>
      </c>
      <c r="CA86" s="18">
        <v>38735</v>
      </c>
      <c r="CB86" t="s">
        <v>164</v>
      </c>
      <c r="CC86">
        <v>0.45</v>
      </c>
      <c r="CD86">
        <v>0.45</v>
      </c>
      <c r="CE86">
        <v>0.26300000000000001</v>
      </c>
      <c r="CG86" t="s">
        <v>186</v>
      </c>
      <c r="CH86" s="18">
        <v>38707</v>
      </c>
      <c r="CI86" s="19">
        <v>0.70833333333333337</v>
      </c>
      <c r="CJ86">
        <v>0.09</v>
      </c>
      <c r="CK86">
        <v>0.09</v>
      </c>
      <c r="CL86">
        <v>0.12</v>
      </c>
      <c r="CN86" t="s">
        <v>187</v>
      </c>
      <c r="CO86" s="18">
        <v>38748</v>
      </c>
      <c r="CQ86">
        <v>0.13</v>
      </c>
      <c r="CR86">
        <v>0.13</v>
      </c>
      <c r="CS86">
        <v>0.13500000000000001</v>
      </c>
      <c r="DW86" t="s">
        <v>184</v>
      </c>
      <c r="DX86" s="18">
        <v>38796</v>
      </c>
      <c r="DY86" t="s">
        <v>164</v>
      </c>
      <c r="DZ86">
        <v>0.19</v>
      </c>
      <c r="EA86">
        <v>0.19</v>
      </c>
      <c r="EB86">
        <v>0.17799999999999999</v>
      </c>
      <c r="ED86" t="s">
        <v>183</v>
      </c>
      <c r="EE86" s="18">
        <v>38770</v>
      </c>
      <c r="EF86" t="s">
        <v>164</v>
      </c>
      <c r="EG86">
        <v>1.2500000000000001E-2</v>
      </c>
      <c r="EH86">
        <v>1.2500000000000001E-2</v>
      </c>
      <c r="EI86">
        <v>1.2E-2</v>
      </c>
      <c r="EK86" t="s">
        <v>186</v>
      </c>
      <c r="EL86" s="18">
        <v>38798</v>
      </c>
      <c r="EM86" t="s">
        <v>164</v>
      </c>
      <c r="EN86">
        <v>0.26</v>
      </c>
      <c r="EO86">
        <v>0.32</v>
      </c>
      <c r="EP86">
        <v>0.29499999999999998</v>
      </c>
      <c r="EY86" t="s">
        <v>187</v>
      </c>
      <c r="EZ86" s="18">
        <v>38743</v>
      </c>
      <c r="FA86" t="s">
        <v>144</v>
      </c>
      <c r="FB86">
        <v>0.8</v>
      </c>
      <c r="FC86">
        <v>0.8</v>
      </c>
      <c r="FD86">
        <v>0.78200000000000003</v>
      </c>
      <c r="FF86" t="s">
        <v>186</v>
      </c>
      <c r="FG86" s="18">
        <v>38825</v>
      </c>
      <c r="FH86" t="s">
        <v>144</v>
      </c>
      <c r="FI86">
        <v>0.68</v>
      </c>
      <c r="FJ86">
        <v>0.68</v>
      </c>
      <c r="FK86">
        <v>0.65700000000000003</v>
      </c>
      <c r="FM86" t="s">
        <v>181</v>
      </c>
      <c r="FN86" s="18">
        <v>39281</v>
      </c>
      <c r="FO86" s="19">
        <v>0.29097222222222224</v>
      </c>
      <c r="FP86">
        <v>1.21</v>
      </c>
      <c r="FQ86">
        <v>1.2</v>
      </c>
      <c r="FR86">
        <v>1.095</v>
      </c>
      <c r="FT86" t="s">
        <v>185</v>
      </c>
      <c r="FU86" s="18">
        <v>38778</v>
      </c>
      <c r="FV86" t="s">
        <v>144</v>
      </c>
      <c r="FW86">
        <v>0.62</v>
      </c>
      <c r="FX86">
        <v>0.62</v>
      </c>
      <c r="FY86">
        <v>0.60299999999999998</v>
      </c>
      <c r="GA86" t="s">
        <v>187</v>
      </c>
      <c r="GB86" s="18">
        <v>38747</v>
      </c>
      <c r="GC86" s="19">
        <v>0.33333333333333331</v>
      </c>
      <c r="GD86">
        <v>1.7291000000000001</v>
      </c>
      <c r="GE86">
        <v>1.65</v>
      </c>
      <c r="GF86">
        <v>1.4770000000000001</v>
      </c>
    </row>
    <row r="87" spans="1:188" x14ac:dyDescent="0.3">
      <c r="A87" t="s">
        <v>187</v>
      </c>
      <c r="B87">
        <v>38636</v>
      </c>
      <c r="C87" t="s">
        <v>164</v>
      </c>
      <c r="D87">
        <v>1.7500000000000002E-2</v>
      </c>
      <c r="E87">
        <v>1.3599999999999999E-2</v>
      </c>
      <c r="F87">
        <v>1.2999999999999999E-2</v>
      </c>
      <c r="H87" t="s">
        <v>188</v>
      </c>
      <c r="I87" s="18">
        <v>38650</v>
      </c>
      <c r="J87" t="s">
        <v>164</v>
      </c>
      <c r="K87">
        <v>3.5000000000000001E-3</v>
      </c>
      <c r="L87">
        <v>3.5000000000000001E-3</v>
      </c>
      <c r="M87">
        <v>8.9999999999999993E-3</v>
      </c>
      <c r="O87" t="s">
        <v>188</v>
      </c>
      <c r="P87" s="18">
        <v>38645</v>
      </c>
      <c r="Q87" s="19">
        <v>0.66736111111111107</v>
      </c>
      <c r="R87">
        <v>3.3000000000000002E-2</v>
      </c>
      <c r="S87">
        <v>3.3000000000000002E-2</v>
      </c>
      <c r="T87">
        <v>3.2000000000000001E-2</v>
      </c>
      <c r="AC87" t="s">
        <v>186</v>
      </c>
      <c r="AD87" s="18">
        <v>38652</v>
      </c>
      <c r="AE87" t="s">
        <v>164</v>
      </c>
      <c r="AF87">
        <v>0.31</v>
      </c>
      <c r="AG87">
        <v>0.31</v>
      </c>
      <c r="AH87">
        <v>0.29799999999999999</v>
      </c>
      <c r="AJ87" t="s">
        <v>187</v>
      </c>
      <c r="AK87" s="18">
        <v>38741</v>
      </c>
      <c r="AL87" s="19">
        <v>0.70833333333333337</v>
      </c>
      <c r="AM87">
        <v>8.6999999999999994E-3</v>
      </c>
      <c r="AN87">
        <v>8.0999999999999996E-3</v>
      </c>
      <c r="AO87">
        <v>2E-3</v>
      </c>
      <c r="AQ87" t="s">
        <v>184</v>
      </c>
      <c r="AR87" s="18">
        <v>38665</v>
      </c>
      <c r="AS87" t="s">
        <v>164</v>
      </c>
      <c r="AT87">
        <v>3.5000000000000001E-3</v>
      </c>
      <c r="AU87">
        <v>3.0000000000000001E-3</v>
      </c>
      <c r="AV87">
        <v>3.0000000000000001E-3</v>
      </c>
      <c r="BL87" t="s">
        <v>214</v>
      </c>
      <c r="BM87" s="18">
        <v>38958</v>
      </c>
      <c r="BO87">
        <v>12.4116</v>
      </c>
      <c r="BP87">
        <v>12.757199999999999</v>
      </c>
      <c r="BQ87">
        <v>-2.4245362661989844E-14</v>
      </c>
      <c r="BS87" t="s">
        <v>188</v>
      </c>
      <c r="BT87" s="18">
        <v>38645</v>
      </c>
      <c r="BV87">
        <v>-2.4245362661989844E-14</v>
      </c>
      <c r="BW87">
        <v>-2.4245362661989844E-14</v>
      </c>
      <c r="BX87">
        <v>-2.4245362661989844E-14</v>
      </c>
      <c r="BZ87" t="s">
        <v>188</v>
      </c>
      <c r="CA87" s="18">
        <v>38636</v>
      </c>
      <c r="CB87" t="s">
        <v>164</v>
      </c>
      <c r="CC87">
        <v>0.18</v>
      </c>
      <c r="CD87">
        <v>0.18</v>
      </c>
      <c r="CE87">
        <v>8.8999999999999996E-2</v>
      </c>
      <c r="CG87" t="s">
        <v>187</v>
      </c>
      <c r="CH87" s="18">
        <v>38624</v>
      </c>
      <c r="CJ87">
        <v>7.0000000000000007E-2</v>
      </c>
      <c r="CK87">
        <v>7.0000000000000007E-2</v>
      </c>
      <c r="CL87">
        <v>-0.12</v>
      </c>
      <c r="CN87" t="s">
        <v>188</v>
      </c>
      <c r="CO87" s="18">
        <v>38652</v>
      </c>
      <c r="CQ87">
        <v>0.112</v>
      </c>
      <c r="CR87">
        <v>0.112</v>
      </c>
      <c r="CS87">
        <v>0.107</v>
      </c>
      <c r="DW87" t="s">
        <v>185</v>
      </c>
      <c r="DX87" s="18">
        <v>38701</v>
      </c>
      <c r="DY87" t="s">
        <v>164</v>
      </c>
      <c r="DZ87">
        <v>0.19</v>
      </c>
      <c r="EA87">
        <v>0.19</v>
      </c>
      <c r="EB87">
        <v>0.19</v>
      </c>
      <c r="ED87" t="s">
        <v>184</v>
      </c>
      <c r="EE87" s="18">
        <v>38672</v>
      </c>
      <c r="EF87" t="s">
        <v>164</v>
      </c>
      <c r="EG87">
        <v>2.75E-2</v>
      </c>
      <c r="EH87">
        <v>1.2500000000000001E-2</v>
      </c>
      <c r="EI87">
        <v>0.01</v>
      </c>
      <c r="EK87" t="s">
        <v>187</v>
      </c>
      <c r="EL87" s="18">
        <v>38701</v>
      </c>
      <c r="EM87" t="s">
        <v>164</v>
      </c>
      <c r="EN87">
        <v>0.3</v>
      </c>
      <c r="EO87">
        <v>0.3</v>
      </c>
      <c r="EP87">
        <v>0.28699999999999998</v>
      </c>
      <c r="EY87" t="s">
        <v>188</v>
      </c>
      <c r="EZ87" s="18">
        <v>38645</v>
      </c>
      <c r="FA87" t="s">
        <v>144</v>
      </c>
      <c r="FB87">
        <v>0.73</v>
      </c>
      <c r="FC87">
        <v>0.73</v>
      </c>
      <c r="FD87">
        <v>0.71599999999999997</v>
      </c>
      <c r="FF87" t="s">
        <v>187</v>
      </c>
      <c r="FG87" s="18">
        <v>38736</v>
      </c>
      <c r="FH87" t="s">
        <v>144</v>
      </c>
      <c r="FI87">
        <v>0.57999999999999996</v>
      </c>
      <c r="FJ87">
        <v>0.57999999999999996</v>
      </c>
      <c r="FK87">
        <v>0.65100000000000002</v>
      </c>
      <c r="FM87" t="s">
        <v>182</v>
      </c>
      <c r="FN87" s="18">
        <v>39190</v>
      </c>
      <c r="FO87" s="19">
        <v>0.29097222222222224</v>
      </c>
      <c r="FP87">
        <v>1.24</v>
      </c>
      <c r="FQ87">
        <v>1.24</v>
      </c>
      <c r="FR87">
        <v>1.0649999999999999</v>
      </c>
      <c r="FT87" t="s">
        <v>186</v>
      </c>
      <c r="FU87" s="18">
        <v>38694</v>
      </c>
      <c r="FV87" t="s">
        <v>144</v>
      </c>
      <c r="FW87">
        <v>0.46</v>
      </c>
      <c r="FX87">
        <v>0.46</v>
      </c>
      <c r="FY87">
        <v>0.44800000000000001</v>
      </c>
      <c r="GA87" t="s">
        <v>188</v>
      </c>
      <c r="GB87" s="18">
        <v>38652</v>
      </c>
      <c r="GC87" t="s">
        <v>144</v>
      </c>
      <c r="GD87">
        <v>1.32</v>
      </c>
      <c r="GE87">
        <v>1.32</v>
      </c>
      <c r="GF87">
        <v>1.2589999999999999</v>
      </c>
    </row>
    <row r="88" spans="1:188" x14ac:dyDescent="0.3">
      <c r="A88" t="s">
        <v>188</v>
      </c>
      <c r="B88">
        <v>38546</v>
      </c>
      <c r="C88" t="s">
        <v>164</v>
      </c>
      <c r="D88">
        <v>1.32E-2</v>
      </c>
      <c r="E88">
        <v>1.32E-2</v>
      </c>
      <c r="F88">
        <v>1.0999999999999999E-2</v>
      </c>
      <c r="H88" t="s">
        <v>189</v>
      </c>
      <c r="I88" s="18">
        <v>38559</v>
      </c>
      <c r="J88" t="s">
        <v>164</v>
      </c>
      <c r="K88">
        <v>6.0000000000000001E-3</v>
      </c>
      <c r="L88">
        <v>6.0000000000000001E-3</v>
      </c>
      <c r="M88">
        <v>1.0999999999999999E-2</v>
      </c>
      <c r="O88" t="s">
        <v>189</v>
      </c>
      <c r="P88" s="18">
        <v>38554</v>
      </c>
      <c r="Q88" s="19">
        <v>0.66736111111111107</v>
      </c>
      <c r="R88">
        <v>2.98E-2</v>
      </c>
      <c r="S88">
        <v>2.98E-2</v>
      </c>
      <c r="T88">
        <v>3.1E-2</v>
      </c>
      <c r="AC88" t="s">
        <v>187</v>
      </c>
      <c r="AD88" s="18">
        <v>38554</v>
      </c>
      <c r="AE88" t="s">
        <v>164</v>
      </c>
      <c r="AF88">
        <v>0.34210000000000002</v>
      </c>
      <c r="AG88">
        <v>0.33</v>
      </c>
      <c r="AH88">
        <v>0.31</v>
      </c>
      <c r="AJ88" t="s">
        <v>188</v>
      </c>
      <c r="AK88" s="18">
        <v>39013</v>
      </c>
      <c r="AL88" s="19">
        <v>0.67013888888888884</v>
      </c>
      <c r="AM88">
        <v>1.6000000000000001E-3</v>
      </c>
      <c r="AN88">
        <v>1.6000000000000001E-3</v>
      </c>
      <c r="AO88">
        <v>2E-3</v>
      </c>
      <c r="AQ88" t="s">
        <v>185</v>
      </c>
      <c r="AR88" s="18">
        <v>38925</v>
      </c>
      <c r="AT88">
        <v>1.6999999999999999E-3</v>
      </c>
      <c r="AU88">
        <v>3.3999999999999998E-3</v>
      </c>
      <c r="AV88">
        <v>3.0000000000000001E-3</v>
      </c>
      <c r="BL88" t="s">
        <v>271</v>
      </c>
      <c r="BM88" s="18">
        <v>38958</v>
      </c>
      <c r="BO88">
        <v>12.4116</v>
      </c>
      <c r="BP88">
        <v>-2.4245362661989844E-14</v>
      </c>
      <c r="BQ88">
        <v>-2.4245362661989844E-14</v>
      </c>
      <c r="BS88" t="s">
        <v>216</v>
      </c>
      <c r="BT88" s="18">
        <v>38554</v>
      </c>
      <c r="BV88">
        <v>-2.4245362661989844E-14</v>
      </c>
      <c r="BW88">
        <v>-2.4245362661989844E-14</v>
      </c>
      <c r="BX88">
        <v>-2.4245362661989844E-14</v>
      </c>
      <c r="BZ88" t="s">
        <v>189</v>
      </c>
      <c r="CA88" s="18">
        <v>38546</v>
      </c>
      <c r="CB88" t="s">
        <v>164</v>
      </c>
      <c r="CC88">
        <v>0.03</v>
      </c>
      <c r="CD88">
        <v>0.03</v>
      </c>
      <c r="CE88">
        <v>-0.03</v>
      </c>
      <c r="CG88" t="s">
        <v>188</v>
      </c>
      <c r="CH88" s="18">
        <v>38526</v>
      </c>
      <c r="CI88" t="s">
        <v>164</v>
      </c>
      <c r="CJ88">
        <v>-0.2</v>
      </c>
      <c r="CK88">
        <v>-0.2</v>
      </c>
      <c r="CL88">
        <v>-2.4245362661989844E-14</v>
      </c>
      <c r="CN88" t="s">
        <v>189</v>
      </c>
      <c r="CO88" s="18">
        <v>38561</v>
      </c>
      <c r="CQ88">
        <v>0.112</v>
      </c>
      <c r="CR88">
        <v>0.112</v>
      </c>
      <c r="CS88">
        <v>8.4000000000000005E-2</v>
      </c>
      <c r="DW88" t="s">
        <v>186</v>
      </c>
      <c r="DX88" s="18">
        <v>38617</v>
      </c>
      <c r="DY88" t="s">
        <v>164</v>
      </c>
      <c r="DZ88">
        <v>0.14000000000000001</v>
      </c>
      <c r="EA88">
        <v>-2.4245362661989844E-14</v>
      </c>
      <c r="EB88">
        <v>0.14299999999999999</v>
      </c>
      <c r="ED88" t="s">
        <v>185</v>
      </c>
      <c r="EE88" s="18">
        <v>38581</v>
      </c>
      <c r="EF88" t="s">
        <v>164</v>
      </c>
      <c r="EG88">
        <v>0.01</v>
      </c>
      <c r="EH88">
        <v>0.01</v>
      </c>
      <c r="EI88">
        <v>0.01</v>
      </c>
      <c r="EK88" t="s">
        <v>188</v>
      </c>
      <c r="EL88" s="18">
        <v>38610</v>
      </c>
      <c r="EM88" t="s">
        <v>164</v>
      </c>
      <c r="EN88">
        <v>0.28999999999999998</v>
      </c>
      <c r="EO88">
        <v>0.28999999999999998</v>
      </c>
      <c r="EP88">
        <v>0.26800000000000002</v>
      </c>
      <c r="EY88" t="s">
        <v>189</v>
      </c>
      <c r="EZ88" s="18">
        <v>38554</v>
      </c>
      <c r="FA88" t="s">
        <v>144</v>
      </c>
      <c r="FB88">
        <v>0.67</v>
      </c>
      <c r="FC88">
        <v>0.67</v>
      </c>
      <c r="FD88">
        <v>0.66900000000000004</v>
      </c>
      <c r="FF88" t="s">
        <v>188</v>
      </c>
      <c r="FG88" s="18">
        <v>38639</v>
      </c>
      <c r="FH88" t="s">
        <v>144</v>
      </c>
      <c r="FI88">
        <v>0.61</v>
      </c>
      <c r="FJ88">
        <v>0.61</v>
      </c>
      <c r="FK88">
        <v>0.63300000000000001</v>
      </c>
      <c r="FM88" t="s">
        <v>183</v>
      </c>
      <c r="FN88" s="18">
        <v>39099</v>
      </c>
      <c r="FO88" s="19">
        <v>0.29097222222222224</v>
      </c>
      <c r="FP88">
        <v>1.02</v>
      </c>
      <c r="FQ88">
        <v>1.02</v>
      </c>
      <c r="FR88">
        <v>0.95799999999999996</v>
      </c>
      <c r="FT88" t="s">
        <v>187</v>
      </c>
      <c r="FU88" s="18">
        <v>38631</v>
      </c>
      <c r="FV88" t="s">
        <v>144</v>
      </c>
      <c r="FW88">
        <v>0.74</v>
      </c>
      <c r="FX88">
        <v>0.73899999999999999</v>
      </c>
      <c r="FY88">
        <v>0.64800000000000002</v>
      </c>
      <c r="GA88" t="s">
        <v>189</v>
      </c>
      <c r="GB88" s="18">
        <v>38561</v>
      </c>
      <c r="GC88" s="19">
        <v>0.29166666666666669</v>
      </c>
      <c r="GD88">
        <v>1.23</v>
      </c>
      <c r="GE88">
        <v>1.23</v>
      </c>
      <c r="GF88">
        <v>1.222</v>
      </c>
    </row>
    <row r="89" spans="1:188" x14ac:dyDescent="0.3">
      <c r="A89" t="s">
        <v>189</v>
      </c>
      <c r="B89">
        <v>38455</v>
      </c>
      <c r="C89" s="19">
        <v>0.6875</v>
      </c>
      <c r="D89">
        <v>1.2500000000000001E-2</v>
      </c>
      <c r="E89">
        <v>1.21E-2</v>
      </c>
      <c r="F89">
        <v>8.9999999999999993E-3</v>
      </c>
      <c r="H89" t="s">
        <v>153</v>
      </c>
      <c r="I89" s="18">
        <v>38468</v>
      </c>
      <c r="K89">
        <v>6.0000000000000001E-3</v>
      </c>
      <c r="L89">
        <v>0.01</v>
      </c>
      <c r="M89">
        <v>-2.4245362661989844E-14</v>
      </c>
      <c r="O89" t="s">
        <v>153</v>
      </c>
      <c r="P89" s="18">
        <v>38455</v>
      </c>
      <c r="Q89" s="19">
        <v>0.71527777777777779</v>
      </c>
      <c r="R89">
        <v>3.0800000000000001E-2</v>
      </c>
      <c r="S89">
        <v>2.8000000000000001E-2</v>
      </c>
      <c r="T89">
        <v>-2.4245362661989844E-14</v>
      </c>
      <c r="AC89" t="s">
        <v>188</v>
      </c>
      <c r="AD89" s="18">
        <v>38470</v>
      </c>
      <c r="AE89" t="s">
        <v>164</v>
      </c>
      <c r="AF89">
        <v>0.32</v>
      </c>
      <c r="AG89">
        <v>0.32</v>
      </c>
      <c r="AH89">
        <v>0.315</v>
      </c>
      <c r="AJ89" t="s">
        <v>189</v>
      </c>
      <c r="AK89" s="18">
        <v>38558</v>
      </c>
      <c r="AL89" s="19">
        <v>0.67361111111111116</v>
      </c>
      <c r="AM89">
        <v>1.2999999999999999E-3</v>
      </c>
      <c r="AN89">
        <v>1.2999999999999999E-3</v>
      </c>
      <c r="AO89">
        <v>0</v>
      </c>
      <c r="AQ89" t="s">
        <v>186</v>
      </c>
      <c r="AR89" s="18">
        <v>38484</v>
      </c>
      <c r="AS89" t="s">
        <v>164</v>
      </c>
      <c r="AT89">
        <v>1.5E-3</v>
      </c>
      <c r="AU89">
        <v>3.0000000000000001E-3</v>
      </c>
      <c r="AV89">
        <v>2E-3</v>
      </c>
      <c r="BL89" t="s">
        <v>186</v>
      </c>
      <c r="BM89" s="18">
        <v>38838</v>
      </c>
      <c r="BO89">
        <v>6.0019999999999998</v>
      </c>
      <c r="BP89">
        <v>-2.4245362661989844E-14</v>
      </c>
      <c r="BQ89">
        <v>5.47</v>
      </c>
      <c r="BS89" t="s">
        <v>153</v>
      </c>
      <c r="BT89" s="18">
        <v>38463</v>
      </c>
      <c r="BV89">
        <v>-2.4245362661989844E-14</v>
      </c>
      <c r="BW89">
        <v>-2.4245362661989844E-14</v>
      </c>
      <c r="BX89">
        <v>-2.4245362661989844E-14</v>
      </c>
      <c r="BZ89" t="s">
        <v>153</v>
      </c>
      <c r="CA89" s="18">
        <v>38455</v>
      </c>
      <c r="CB89" s="19">
        <v>0.67708333333333337</v>
      </c>
      <c r="CC89">
        <v>-0.04</v>
      </c>
      <c r="CD89">
        <v>-0.04</v>
      </c>
      <c r="CE89">
        <v>-2.4245362661989844E-14</v>
      </c>
      <c r="CG89" t="s">
        <v>189</v>
      </c>
      <c r="CH89" s="18">
        <v>38440</v>
      </c>
      <c r="CI89" t="s">
        <v>164</v>
      </c>
      <c r="CJ89">
        <v>0.17</v>
      </c>
      <c r="CK89">
        <v>0.17</v>
      </c>
      <c r="CL89">
        <v>-2.4245362661989844E-14</v>
      </c>
      <c r="CN89" t="s">
        <v>153</v>
      </c>
      <c r="CO89" s="18">
        <v>38470</v>
      </c>
      <c r="CP89" s="19">
        <v>0.6875</v>
      </c>
      <c r="CQ89">
        <v>8.8999999999999996E-2</v>
      </c>
      <c r="CR89">
        <v>8.8999999999999996E-2</v>
      </c>
      <c r="CS89">
        <v>-2.4245362661989844E-14</v>
      </c>
      <c r="DW89" t="s">
        <v>187</v>
      </c>
      <c r="DX89" s="18">
        <v>38532</v>
      </c>
      <c r="DY89" s="19">
        <v>0.29166666666666669</v>
      </c>
      <c r="DZ89">
        <v>0.26</v>
      </c>
      <c r="EA89">
        <v>0.26</v>
      </c>
      <c r="EB89">
        <v>0.23400000000000001</v>
      </c>
      <c r="ED89" t="s">
        <v>186</v>
      </c>
      <c r="EE89" s="18">
        <v>38490</v>
      </c>
      <c r="EG89">
        <v>0.01</v>
      </c>
      <c r="EH89">
        <v>0.01</v>
      </c>
      <c r="EI89">
        <v>6.0000000000000001E-3</v>
      </c>
      <c r="EK89" t="s">
        <v>189</v>
      </c>
      <c r="EL89" s="18">
        <v>38519</v>
      </c>
      <c r="EM89" t="s">
        <v>164</v>
      </c>
      <c r="EN89">
        <v>0.28000000000000003</v>
      </c>
      <c r="EO89">
        <v>0.28000000000000003</v>
      </c>
      <c r="EP89">
        <v>0.27200000000000002</v>
      </c>
      <c r="EY89" t="s">
        <v>153</v>
      </c>
      <c r="EZ89" s="18">
        <v>38460</v>
      </c>
      <c r="FA89" s="19">
        <v>0.29166666666666669</v>
      </c>
      <c r="FB89">
        <v>0.68</v>
      </c>
      <c r="FC89">
        <v>0.68</v>
      </c>
      <c r="FD89">
        <v>0.68200000000000005</v>
      </c>
      <c r="FF89" t="s">
        <v>189</v>
      </c>
      <c r="FG89" s="18">
        <v>38547</v>
      </c>
      <c r="FH89" t="s">
        <v>144</v>
      </c>
      <c r="FI89">
        <v>0.57999999999999996</v>
      </c>
      <c r="FJ89">
        <v>0.57999999999999996</v>
      </c>
      <c r="FK89">
        <v>0.60199999999999998</v>
      </c>
      <c r="FM89" t="s">
        <v>184</v>
      </c>
      <c r="FN89" s="18">
        <v>39008</v>
      </c>
      <c r="FO89" s="19">
        <v>0.29166666666666669</v>
      </c>
      <c r="FP89">
        <v>0.91</v>
      </c>
      <c r="FQ89">
        <v>0.91</v>
      </c>
      <c r="FR89">
        <v>0.85299999999999998</v>
      </c>
      <c r="FT89" t="s">
        <v>188</v>
      </c>
      <c r="FU89" s="18">
        <v>38498</v>
      </c>
      <c r="FV89" t="s">
        <v>144</v>
      </c>
      <c r="FW89">
        <v>0.43</v>
      </c>
      <c r="FX89">
        <v>0.43</v>
      </c>
      <c r="FY89">
        <v>0.42499999999999999</v>
      </c>
      <c r="GA89" t="s">
        <v>153</v>
      </c>
      <c r="GB89" s="18">
        <v>38470</v>
      </c>
      <c r="GC89" t="s">
        <v>144</v>
      </c>
      <c r="GD89">
        <v>1.1499999999999999</v>
      </c>
      <c r="GE89">
        <v>1.1499999999999999</v>
      </c>
      <c r="GF89">
        <v>1.06</v>
      </c>
    </row>
    <row r="90" spans="1:188" x14ac:dyDescent="0.3">
      <c r="A90" t="s">
        <v>153</v>
      </c>
      <c r="B90">
        <v>38364</v>
      </c>
      <c r="C90" t="s">
        <v>164</v>
      </c>
      <c r="D90">
        <v>1.2500000000000001E-2</v>
      </c>
      <c r="E90">
        <v>1.2500000000000001E-2</v>
      </c>
      <c r="F90">
        <v>8.0000000000000002E-3</v>
      </c>
      <c r="H90" t="s">
        <v>196</v>
      </c>
      <c r="I90" s="18">
        <v>38385</v>
      </c>
      <c r="K90">
        <v>1.7500000000000002E-2</v>
      </c>
      <c r="L90">
        <v>1.7500000000000002E-2</v>
      </c>
      <c r="M90">
        <v>-2.4245362661989844E-14</v>
      </c>
      <c r="O90" t="s">
        <v>190</v>
      </c>
      <c r="P90" s="18">
        <v>38281</v>
      </c>
      <c r="Q90" s="19">
        <v>0.69236111111111109</v>
      </c>
      <c r="R90">
        <v>4.7999999999999996E-3</v>
      </c>
      <c r="S90">
        <v>1.7500000000000002E-2</v>
      </c>
      <c r="T90">
        <v>-2.4245362661989844E-14</v>
      </c>
      <c r="AC90" t="s">
        <v>189</v>
      </c>
      <c r="AD90" s="18">
        <v>38379</v>
      </c>
      <c r="AE90" s="19">
        <v>0.67708333333333337</v>
      </c>
      <c r="AF90">
        <v>0.35</v>
      </c>
      <c r="AG90">
        <v>0.35</v>
      </c>
      <c r="AH90">
        <v>0.32400000000000001</v>
      </c>
      <c r="AJ90" t="s">
        <v>153</v>
      </c>
      <c r="AK90" s="18">
        <v>38463</v>
      </c>
      <c r="AL90" s="19">
        <v>0.67361111111111116</v>
      </c>
      <c r="AM90">
        <v>-2.3999999999999998E-3</v>
      </c>
      <c r="AN90">
        <v>-2.3999999999999998E-3</v>
      </c>
      <c r="AO90">
        <v>-3.0000000000000001E-3</v>
      </c>
      <c r="AQ90" t="s">
        <v>187</v>
      </c>
      <c r="AR90" s="18">
        <v>38400</v>
      </c>
      <c r="AS90" s="19">
        <v>0.6875</v>
      </c>
      <c r="AT90">
        <v>2.3E-3</v>
      </c>
      <c r="AU90">
        <v>2.3E-3</v>
      </c>
      <c r="AV90">
        <v>2E-3</v>
      </c>
      <c r="BL90" t="s">
        <v>187</v>
      </c>
      <c r="BM90" s="18">
        <v>38743</v>
      </c>
      <c r="BO90">
        <v>6.5514999999999999</v>
      </c>
      <c r="BP90">
        <v>6.5514999999999999</v>
      </c>
      <c r="BQ90">
        <v>6.0330000000000004</v>
      </c>
      <c r="BS90" t="s">
        <v>217</v>
      </c>
      <c r="BT90" s="18">
        <v>38379</v>
      </c>
      <c r="BV90">
        <v>-2.4245362661989844E-14</v>
      </c>
      <c r="BW90">
        <v>-2.4245362661989844E-14</v>
      </c>
      <c r="BX90">
        <v>-2.4245362661989844E-14</v>
      </c>
      <c r="BZ90" t="s">
        <v>196</v>
      </c>
      <c r="CA90" s="18">
        <v>38370</v>
      </c>
      <c r="CB90" t="s">
        <v>164</v>
      </c>
      <c r="CC90">
        <v>0.06</v>
      </c>
      <c r="CD90">
        <v>0.06</v>
      </c>
      <c r="CE90">
        <v>-2.4245362661989844E-14</v>
      </c>
      <c r="CG90" t="s">
        <v>153</v>
      </c>
      <c r="CH90" s="18">
        <v>38343</v>
      </c>
      <c r="CI90" s="19">
        <v>0.72916666666666663</v>
      </c>
      <c r="CJ90">
        <v>0.23</v>
      </c>
      <c r="CK90">
        <v>0.09</v>
      </c>
      <c r="CL90">
        <v>-2.4245362661989844E-14</v>
      </c>
      <c r="CN90" t="s">
        <v>196</v>
      </c>
      <c r="CO90" s="18">
        <v>38379</v>
      </c>
      <c r="CP90" s="19">
        <v>0.66666666666666663</v>
      </c>
      <c r="CQ90">
        <v>0.14399999999999999</v>
      </c>
      <c r="CR90">
        <v>0.14299999999999999</v>
      </c>
      <c r="CS90">
        <v>-2.4245362661989844E-14</v>
      </c>
      <c r="DW90" t="s">
        <v>188</v>
      </c>
      <c r="DX90" s="18">
        <v>38433</v>
      </c>
      <c r="DY90" t="s">
        <v>164</v>
      </c>
      <c r="DZ90">
        <v>0.16</v>
      </c>
      <c r="EA90">
        <v>0.16</v>
      </c>
      <c r="EB90">
        <v>0.14799999999999999</v>
      </c>
      <c r="ED90" t="s">
        <v>187</v>
      </c>
      <c r="EE90" s="18">
        <v>38400</v>
      </c>
      <c r="EG90">
        <v>7.4999999999999997E-3</v>
      </c>
      <c r="EH90">
        <v>7.4999999999999997E-3</v>
      </c>
      <c r="EI90">
        <v>5.0000000000000001E-3</v>
      </c>
      <c r="EK90" t="s">
        <v>153</v>
      </c>
      <c r="EL90" s="18">
        <v>38428</v>
      </c>
      <c r="EM90" t="s">
        <v>164</v>
      </c>
      <c r="EN90">
        <v>0.26500000000000001</v>
      </c>
      <c r="EO90">
        <v>0.26500000000000001</v>
      </c>
      <c r="EP90">
        <v>0.24399999999999999</v>
      </c>
      <c r="EY90" t="s">
        <v>196</v>
      </c>
      <c r="EZ90" s="18">
        <v>38378</v>
      </c>
      <c r="FA90" s="19">
        <v>0.29166666666666669</v>
      </c>
      <c r="FB90">
        <v>0.75</v>
      </c>
      <c r="FC90">
        <v>0.75</v>
      </c>
      <c r="FD90">
        <v>0.73699999999999999</v>
      </c>
      <c r="FF90" t="s">
        <v>153</v>
      </c>
      <c r="FG90" s="18">
        <v>38456</v>
      </c>
      <c r="FH90" t="s">
        <v>144</v>
      </c>
      <c r="FI90">
        <v>0.55000000000000004</v>
      </c>
      <c r="FJ90">
        <v>0.55000000000000004</v>
      </c>
      <c r="FK90">
        <v>0.56799999999999995</v>
      </c>
      <c r="FM90" t="s">
        <v>185</v>
      </c>
      <c r="FN90" s="18">
        <v>38917</v>
      </c>
      <c r="FO90" s="19">
        <v>0.29166666666666669</v>
      </c>
      <c r="FP90">
        <v>0.95</v>
      </c>
      <c r="FQ90">
        <v>0.95</v>
      </c>
      <c r="FR90">
        <v>0.86799999999999999</v>
      </c>
      <c r="FT90" t="s">
        <v>189</v>
      </c>
      <c r="FU90" s="18">
        <v>38413</v>
      </c>
      <c r="FV90" t="s">
        <v>144</v>
      </c>
      <c r="FW90">
        <v>0.69</v>
      </c>
      <c r="FX90">
        <v>0.55000000000000004</v>
      </c>
      <c r="FY90">
        <v>0.54600000000000004</v>
      </c>
      <c r="GA90" t="s">
        <v>196</v>
      </c>
      <c r="GB90" s="18">
        <v>38383</v>
      </c>
      <c r="GC90" s="19">
        <v>0.36458333333333331</v>
      </c>
      <c r="GD90">
        <v>1.3</v>
      </c>
      <c r="GE90">
        <v>1.3</v>
      </c>
      <c r="GF90">
        <v>-2.4245362661989844E-14</v>
      </c>
    </row>
    <row r="91" spans="1:188" x14ac:dyDescent="0.3">
      <c r="A91" t="s">
        <v>196</v>
      </c>
      <c r="B91">
        <v>38273</v>
      </c>
      <c r="C91" s="19">
        <v>0.6875</v>
      </c>
      <c r="D91">
        <v>4.7999999999999996E-3</v>
      </c>
      <c r="E91">
        <v>4.7999999999999996E-3</v>
      </c>
      <c r="F91">
        <v>3.0000000000000001E-3</v>
      </c>
      <c r="H91" t="s">
        <v>190</v>
      </c>
      <c r="I91" s="18">
        <v>38281</v>
      </c>
      <c r="J91" s="19">
        <v>0.66666666666666663</v>
      </c>
      <c r="K91">
        <v>6.4999999999999997E-3</v>
      </c>
      <c r="L91">
        <v>8.5000000000000006E-3</v>
      </c>
      <c r="M91">
        <v>-2.4245362661989844E-14</v>
      </c>
      <c r="O91" t="s">
        <v>191</v>
      </c>
      <c r="P91" s="18">
        <v>38194</v>
      </c>
      <c r="R91">
        <v>7.4999999999999997E-3</v>
      </c>
      <c r="S91">
        <v>1.4500000000000001E-2</v>
      </c>
      <c r="T91">
        <v>-2.4245362661989844E-14</v>
      </c>
      <c r="AC91" t="s">
        <v>153</v>
      </c>
      <c r="AD91" s="18">
        <v>38281</v>
      </c>
      <c r="AE91" s="19">
        <v>0.67708333333333337</v>
      </c>
      <c r="AF91">
        <v>0.31</v>
      </c>
      <c r="AG91">
        <v>0.31</v>
      </c>
      <c r="AH91">
        <v>0.30099999999999999</v>
      </c>
      <c r="AJ91" t="s">
        <v>196</v>
      </c>
      <c r="AK91" s="18">
        <v>38376</v>
      </c>
      <c r="AL91" s="19">
        <v>0.67013888888888884</v>
      </c>
      <c r="AM91">
        <v>1.2999999999999999E-3</v>
      </c>
      <c r="AN91">
        <v>1.2999999999999999E-3</v>
      </c>
      <c r="AO91">
        <v>1E-3</v>
      </c>
      <c r="AQ91" t="s">
        <v>188</v>
      </c>
      <c r="AR91" s="18">
        <v>38295</v>
      </c>
      <c r="AS91" s="19">
        <v>0.67708333333333337</v>
      </c>
      <c r="AT91">
        <v>1.2999999999999999E-3</v>
      </c>
      <c r="AU91">
        <v>1.2999999999999999E-3</v>
      </c>
      <c r="AV91">
        <v>1E-3</v>
      </c>
      <c r="BL91" t="s">
        <v>188</v>
      </c>
      <c r="BM91" s="18">
        <v>38651</v>
      </c>
      <c r="BO91">
        <v>-2.4245362661989844E-14</v>
      </c>
      <c r="BP91">
        <v>4.7343000000000002</v>
      </c>
      <c r="BQ91">
        <v>3.5419999999999998</v>
      </c>
      <c r="BS91" t="s">
        <v>196</v>
      </c>
      <c r="BT91" s="18">
        <v>38113</v>
      </c>
      <c r="BV91">
        <v>-2.4245362661989844E-14</v>
      </c>
      <c r="BW91">
        <v>-2.4245362661989844E-14</v>
      </c>
      <c r="BX91">
        <v>-2.4245362661989844E-14</v>
      </c>
      <c r="BZ91" t="s">
        <v>190</v>
      </c>
      <c r="CA91" s="18">
        <v>38267</v>
      </c>
      <c r="CB91" s="19">
        <v>0.67708333333333337</v>
      </c>
      <c r="CC91">
        <v>0.12</v>
      </c>
      <c r="CD91">
        <v>0.12</v>
      </c>
      <c r="CE91">
        <v>-2.4245362661989844E-14</v>
      </c>
      <c r="CG91" t="s">
        <v>196</v>
      </c>
      <c r="CH91" s="18">
        <v>38259</v>
      </c>
      <c r="CI91" s="19">
        <v>0.72916666666666663</v>
      </c>
      <c r="CJ91">
        <v>0.14000000000000001</v>
      </c>
      <c r="CK91">
        <v>0.14000000000000001</v>
      </c>
      <c r="CL91">
        <v>-2.4245362661989844E-14</v>
      </c>
      <c r="CN91" t="s">
        <v>190</v>
      </c>
      <c r="CO91" s="18">
        <v>38286</v>
      </c>
      <c r="CP91" s="19">
        <v>0.6875</v>
      </c>
      <c r="CQ91">
        <v>0.72199999999999998</v>
      </c>
      <c r="CR91">
        <v>0.108</v>
      </c>
      <c r="CS91">
        <v>-2.4245362661989844E-14</v>
      </c>
      <c r="DW91" t="s">
        <v>189</v>
      </c>
      <c r="DX91" s="18">
        <v>38334</v>
      </c>
      <c r="DY91" t="s">
        <v>144</v>
      </c>
      <c r="DZ91">
        <v>0.16</v>
      </c>
      <c r="EA91">
        <v>0.16</v>
      </c>
      <c r="EB91">
        <v>0.13600000000000001</v>
      </c>
      <c r="ED91" t="s">
        <v>188</v>
      </c>
      <c r="EE91" s="18">
        <v>38308</v>
      </c>
      <c r="EF91" t="s">
        <v>164</v>
      </c>
      <c r="EG91">
        <v>5.0000000000000001E-3</v>
      </c>
      <c r="EH91">
        <v>5.0000000000000001E-3</v>
      </c>
      <c r="EI91">
        <v>3.0000000000000001E-3</v>
      </c>
      <c r="EK91" t="s">
        <v>196</v>
      </c>
      <c r="EL91" s="18">
        <v>38337</v>
      </c>
      <c r="EM91" t="s">
        <v>164</v>
      </c>
      <c r="EN91">
        <v>-2.4245362661989844E-14</v>
      </c>
      <c r="EO91">
        <v>0.22500000000000001</v>
      </c>
      <c r="EP91">
        <v>0.21</v>
      </c>
      <c r="EY91" t="s">
        <v>190</v>
      </c>
      <c r="EZ91" s="18">
        <v>38281</v>
      </c>
      <c r="FA91" s="19">
        <v>0.29166666666666669</v>
      </c>
      <c r="FB91">
        <v>0.69</v>
      </c>
      <c r="FC91">
        <v>0.69</v>
      </c>
      <c r="FD91">
        <v>0.68</v>
      </c>
      <c r="FF91" t="s">
        <v>196</v>
      </c>
      <c r="FG91" s="18">
        <v>38372</v>
      </c>
      <c r="FH91" s="19">
        <v>0.25</v>
      </c>
      <c r="FI91">
        <v>0.54500000000000004</v>
      </c>
      <c r="FJ91">
        <v>0.54500000000000004</v>
      </c>
      <c r="FK91">
        <v>0.53900000000000003</v>
      </c>
      <c r="FM91" t="s">
        <v>186</v>
      </c>
      <c r="FN91" s="18">
        <v>38826</v>
      </c>
      <c r="FO91" s="19">
        <v>0.29166666666666669</v>
      </c>
      <c r="FP91">
        <v>0.85</v>
      </c>
      <c r="FQ91">
        <v>0.87</v>
      </c>
      <c r="FR91">
        <v>0.81</v>
      </c>
      <c r="FT91" t="s">
        <v>153</v>
      </c>
      <c r="FU91" s="18">
        <v>38330</v>
      </c>
      <c r="FV91" t="s">
        <v>144</v>
      </c>
      <c r="FW91">
        <v>0.4</v>
      </c>
      <c r="FX91">
        <v>0.4</v>
      </c>
      <c r="FY91">
        <v>0.40500000000000003</v>
      </c>
      <c r="GA91" t="s">
        <v>190</v>
      </c>
      <c r="GB91" s="18">
        <v>38288</v>
      </c>
      <c r="GC91" s="19">
        <v>0.33333333333333331</v>
      </c>
      <c r="GD91">
        <v>0.96</v>
      </c>
      <c r="GE91">
        <v>0.96</v>
      </c>
      <c r="GF91">
        <v>-2.4245362661989844E-14</v>
      </c>
    </row>
    <row r="92" spans="1:188" x14ac:dyDescent="0.3">
      <c r="A92" t="s">
        <v>190</v>
      </c>
      <c r="B92">
        <v>38182</v>
      </c>
      <c r="C92" s="19">
        <v>0.6875</v>
      </c>
      <c r="D92">
        <v>3.0000000000000001E-3</v>
      </c>
      <c r="E92">
        <v>3.0000000000000001E-3</v>
      </c>
      <c r="F92">
        <v>3.0000000000000001E-3</v>
      </c>
      <c r="H92" t="s">
        <v>191</v>
      </c>
      <c r="I92" s="18">
        <v>38190</v>
      </c>
      <c r="K92">
        <v>8.9999999999999993E-3</v>
      </c>
      <c r="L92">
        <v>8.9999999999999993E-3</v>
      </c>
      <c r="M92">
        <v>-2.4245362661989844E-14</v>
      </c>
      <c r="AC92" t="s">
        <v>196</v>
      </c>
      <c r="AD92" s="18">
        <v>38190</v>
      </c>
      <c r="AE92" s="19">
        <v>0.67708333333333337</v>
      </c>
      <c r="AF92">
        <v>0.27</v>
      </c>
      <c r="AG92">
        <v>0.28000000000000003</v>
      </c>
      <c r="AH92">
        <v>0.28100000000000003</v>
      </c>
      <c r="AJ92" t="s">
        <v>190</v>
      </c>
      <c r="AK92" s="18">
        <v>38274</v>
      </c>
      <c r="AL92" s="19">
        <v>0.68472222222222223</v>
      </c>
      <c r="AM92">
        <v>4.1000000000000003E-3</v>
      </c>
      <c r="AN92">
        <v>4.1000000000000003E-3</v>
      </c>
      <c r="AO92">
        <v>4.0000000000000001E-3</v>
      </c>
      <c r="AQ92" t="s">
        <v>189</v>
      </c>
      <c r="AR92" s="18">
        <v>38204</v>
      </c>
      <c r="AS92" s="19">
        <v>0.6875</v>
      </c>
      <c r="AT92">
        <v>2.0000000000000001E-4</v>
      </c>
      <c r="AU92">
        <v>2.9999999999999997E-4</v>
      </c>
      <c r="AV92">
        <v>1E-3</v>
      </c>
      <c r="BL92" t="s">
        <v>216</v>
      </c>
      <c r="BM92" s="18">
        <v>38593</v>
      </c>
      <c r="BO92">
        <v>-2.4245362661989844E-14</v>
      </c>
      <c r="BP92">
        <v>6.8384</v>
      </c>
      <c r="BQ92">
        <v>-2.4245362661989844E-14</v>
      </c>
      <c r="BS92" t="s">
        <v>190</v>
      </c>
      <c r="BT92" s="18">
        <v>38281</v>
      </c>
      <c r="BV92">
        <v>-2.4245362661989844E-14</v>
      </c>
      <c r="BW92">
        <v>-2.4245362661989844E-14</v>
      </c>
      <c r="BX92">
        <v>-2.4245362661989844E-14</v>
      </c>
      <c r="BZ92" t="s">
        <v>191</v>
      </c>
      <c r="CA92" s="18">
        <v>38182</v>
      </c>
      <c r="CB92" s="19">
        <v>0.67708333333333337</v>
      </c>
      <c r="CC92">
        <v>0.09</v>
      </c>
      <c r="CD92">
        <v>0.09</v>
      </c>
      <c r="CE92">
        <v>-2.4245362661989844E-14</v>
      </c>
      <c r="CG92" t="s">
        <v>190</v>
      </c>
      <c r="CH92" s="18">
        <v>38161</v>
      </c>
      <c r="CI92" s="19">
        <v>0.70833333333333337</v>
      </c>
      <c r="CJ92">
        <v>0.13</v>
      </c>
      <c r="CK92">
        <v>0.13</v>
      </c>
      <c r="CL92">
        <v>-2.4245362661989844E-14</v>
      </c>
      <c r="CN92" t="s">
        <v>191</v>
      </c>
      <c r="CO92" s="18">
        <v>38195</v>
      </c>
      <c r="CP92" s="19">
        <v>0.6875</v>
      </c>
      <c r="CQ92">
        <v>6.7000000000000004E-2</v>
      </c>
      <c r="CR92">
        <v>6.7000000000000004E-2</v>
      </c>
      <c r="CS92">
        <v>-2.4245362661989844E-14</v>
      </c>
      <c r="DW92" t="s">
        <v>153</v>
      </c>
      <c r="DX92" s="18">
        <v>38244</v>
      </c>
      <c r="DY92" s="19">
        <v>0.66666666666666663</v>
      </c>
      <c r="DZ92">
        <v>0.1</v>
      </c>
      <c r="EA92">
        <v>0.1</v>
      </c>
      <c r="EB92">
        <v>9.0999999999999998E-2</v>
      </c>
      <c r="ED92" t="s">
        <v>189</v>
      </c>
      <c r="EE92" s="18">
        <v>38218</v>
      </c>
      <c r="EF92" t="s">
        <v>164</v>
      </c>
      <c r="EG92">
        <v>2.5000000000000001E-3</v>
      </c>
      <c r="EH92">
        <v>2.5000000000000001E-3</v>
      </c>
      <c r="EI92">
        <v>3.0000000000000001E-3</v>
      </c>
      <c r="EK92" t="s">
        <v>190</v>
      </c>
      <c r="EL92" s="18">
        <v>38250</v>
      </c>
      <c r="EM92" s="19">
        <v>0.67708333333333337</v>
      </c>
      <c r="EN92">
        <v>0.21</v>
      </c>
      <c r="EO92">
        <v>0.215</v>
      </c>
      <c r="EP92">
        <v>0.192</v>
      </c>
      <c r="EY92" t="s">
        <v>191</v>
      </c>
      <c r="EZ92" s="18">
        <v>38190</v>
      </c>
      <c r="FA92" s="19">
        <v>0.29166666666666669</v>
      </c>
      <c r="FB92">
        <v>0.68</v>
      </c>
      <c r="FC92">
        <v>0.68</v>
      </c>
      <c r="FD92">
        <v>0.67900000000000005</v>
      </c>
      <c r="FF92" t="s">
        <v>190</v>
      </c>
      <c r="FG92" s="18">
        <v>38274</v>
      </c>
      <c r="FH92" s="19">
        <v>0.25</v>
      </c>
      <c r="FI92">
        <v>0.52</v>
      </c>
      <c r="FJ92">
        <v>-2.4245362661989844E-14</v>
      </c>
      <c r="FK92">
        <v>0.5</v>
      </c>
      <c r="FM92" t="s">
        <v>187</v>
      </c>
      <c r="FN92" s="18">
        <v>38735</v>
      </c>
      <c r="FO92" s="19">
        <v>0.29166666666666669</v>
      </c>
      <c r="FP92">
        <v>0.73</v>
      </c>
      <c r="FQ92">
        <v>0.73</v>
      </c>
      <c r="FR92">
        <v>0.72299999999999998</v>
      </c>
      <c r="FT92" t="s">
        <v>196</v>
      </c>
      <c r="FU92" s="18">
        <v>38267</v>
      </c>
      <c r="FV92" t="s">
        <v>144</v>
      </c>
      <c r="FW92">
        <v>0.62</v>
      </c>
      <c r="FX92">
        <v>0.62</v>
      </c>
      <c r="FY92">
        <v>0.58199999999999996</v>
      </c>
      <c r="GA92" t="s">
        <v>191</v>
      </c>
      <c r="GB92" s="18">
        <v>38197</v>
      </c>
      <c r="GC92" s="19">
        <v>0.33333333333333331</v>
      </c>
      <c r="GD92">
        <v>0.88</v>
      </c>
      <c r="GE92">
        <v>0.88</v>
      </c>
      <c r="GF92">
        <v>-2.4245362661989844E-14</v>
      </c>
    </row>
    <row r="93" spans="1:188" x14ac:dyDescent="0.3">
      <c r="A93" t="s">
        <v>191</v>
      </c>
      <c r="B93">
        <v>38091</v>
      </c>
      <c r="C93" t="s">
        <v>164</v>
      </c>
      <c r="D93">
        <v>2.0999999999999999E-3</v>
      </c>
      <c r="E93">
        <v>2.5000000000000001E-3</v>
      </c>
      <c r="F93">
        <v>2E-3</v>
      </c>
      <c r="H93" t="s">
        <v>197</v>
      </c>
      <c r="I93" s="18">
        <v>38099</v>
      </c>
      <c r="K93">
        <v>1.2999999999999999E-2</v>
      </c>
      <c r="L93">
        <v>1.15E-2</v>
      </c>
      <c r="M93">
        <v>-2.4245362661989844E-14</v>
      </c>
      <c r="AC93" t="s">
        <v>190</v>
      </c>
      <c r="AD93" s="18">
        <v>38099</v>
      </c>
      <c r="AE93" t="s">
        <v>164</v>
      </c>
      <c r="AF93">
        <v>0.34</v>
      </c>
      <c r="AG93">
        <v>0.34</v>
      </c>
      <c r="AH93">
        <v>0.28399999999999997</v>
      </c>
      <c r="AJ93" t="s">
        <v>191</v>
      </c>
      <c r="AK93" s="18">
        <v>38169</v>
      </c>
      <c r="AL93" s="19">
        <v>0.67013888888888884</v>
      </c>
      <c r="AM93">
        <v>5.9999999999999995E-4</v>
      </c>
      <c r="AN93">
        <v>5.9999999999999995E-4</v>
      </c>
      <c r="AO93">
        <v>2E-3</v>
      </c>
      <c r="AQ93" t="s">
        <v>153</v>
      </c>
      <c r="AR93" s="18">
        <v>38113</v>
      </c>
      <c r="AS93" t="s">
        <v>164</v>
      </c>
      <c r="AT93">
        <v>1E-3</v>
      </c>
      <c r="AU93">
        <v>1E-3</v>
      </c>
      <c r="AV93">
        <v>1E-3</v>
      </c>
      <c r="BL93" t="s">
        <v>189</v>
      </c>
      <c r="BM93" s="18">
        <v>38559</v>
      </c>
      <c r="BO93">
        <v>-2.4245362661989844E-14</v>
      </c>
      <c r="BP93">
        <v>3.5388000000000002</v>
      </c>
      <c r="BQ93">
        <v>3.444</v>
      </c>
      <c r="BS93" t="s">
        <v>218</v>
      </c>
      <c r="BT93" s="18">
        <v>38190</v>
      </c>
      <c r="BV93">
        <v>-2.4245362661989844E-14</v>
      </c>
      <c r="BW93">
        <v>-2.4245362661989844E-14</v>
      </c>
      <c r="BX93">
        <v>-2.4245362661989844E-14</v>
      </c>
      <c r="BZ93" t="s">
        <v>197</v>
      </c>
      <c r="CA93" s="18">
        <v>38091</v>
      </c>
      <c r="CB93" t="s">
        <v>164</v>
      </c>
      <c r="CC93">
        <v>0.12</v>
      </c>
      <c r="CD93">
        <v>0.12</v>
      </c>
      <c r="CE93">
        <v>-2.4245362661989844E-14</v>
      </c>
      <c r="CG93" t="s">
        <v>191</v>
      </c>
      <c r="CH93" s="18">
        <v>38070</v>
      </c>
      <c r="CI93" t="s">
        <v>164</v>
      </c>
      <c r="CJ93">
        <v>-0.04</v>
      </c>
      <c r="CK93">
        <v>-0.04</v>
      </c>
      <c r="CL93">
        <v>-2.4245362661989844E-14</v>
      </c>
      <c r="CN93" t="s">
        <v>197</v>
      </c>
      <c r="CO93" s="18">
        <v>38104</v>
      </c>
      <c r="CP93" t="s">
        <v>164</v>
      </c>
      <c r="CQ93">
        <v>0.06</v>
      </c>
      <c r="CR93">
        <v>0.06</v>
      </c>
      <c r="CS93">
        <v>-2.4245362661989844E-14</v>
      </c>
      <c r="DW93" t="s">
        <v>196</v>
      </c>
      <c r="DX93" s="18">
        <v>38153</v>
      </c>
      <c r="DY93" s="19">
        <v>0.66666666666666663</v>
      </c>
      <c r="DZ93">
        <v>0.19</v>
      </c>
      <c r="EA93">
        <v>0.19</v>
      </c>
      <c r="EB93">
        <v>0.18</v>
      </c>
      <c r="EK93" t="s">
        <v>191</v>
      </c>
      <c r="EL93" s="18">
        <v>38155</v>
      </c>
      <c r="EM93" s="19">
        <v>0.67638888888888893</v>
      </c>
      <c r="EN93">
        <v>0.22</v>
      </c>
      <c r="EO93">
        <v>0.22</v>
      </c>
      <c r="EP93">
        <v>0.21299999999999999</v>
      </c>
      <c r="EY93" t="s">
        <v>197</v>
      </c>
      <c r="EZ93" s="18">
        <v>38096</v>
      </c>
      <c r="FA93" t="s">
        <v>144</v>
      </c>
      <c r="FB93">
        <v>0.7</v>
      </c>
      <c r="FC93">
        <v>0.7</v>
      </c>
      <c r="FD93">
        <v>0.66500000000000004</v>
      </c>
      <c r="FF93" t="s">
        <v>191</v>
      </c>
      <c r="FG93" s="18">
        <v>38183</v>
      </c>
      <c r="FH93" s="19">
        <v>0.25</v>
      </c>
      <c r="FI93">
        <v>0.46500000000000002</v>
      </c>
      <c r="FJ93">
        <v>0.46500000000000002</v>
      </c>
      <c r="FK93">
        <v>0.45800000000000002</v>
      </c>
      <c r="FM93" t="s">
        <v>188</v>
      </c>
      <c r="FN93" s="18">
        <v>38644</v>
      </c>
      <c r="FO93" s="19">
        <v>0.29166666666666669</v>
      </c>
      <c r="FP93">
        <v>0.74</v>
      </c>
      <c r="FQ93">
        <v>0.75</v>
      </c>
      <c r="FR93">
        <v>0.70799999999999996</v>
      </c>
      <c r="FT93" t="s">
        <v>190</v>
      </c>
      <c r="FU93" s="18">
        <v>38134</v>
      </c>
      <c r="FV93" s="19">
        <v>0.16666666666666666</v>
      </c>
      <c r="FW93">
        <v>0.40899999999999997</v>
      </c>
      <c r="FX93">
        <v>0.40899999999999997</v>
      </c>
      <c r="FY93">
        <v>-2.4245362661989844E-14</v>
      </c>
      <c r="GA93" t="s">
        <v>197</v>
      </c>
      <c r="GB93" s="18">
        <v>38106</v>
      </c>
      <c r="GD93">
        <v>0.83</v>
      </c>
      <c r="GE93">
        <v>0.83</v>
      </c>
      <c r="GF93">
        <v>-2.4245362661989844E-14</v>
      </c>
    </row>
    <row r="94" spans="1:188" x14ac:dyDescent="0.3">
      <c r="A94" t="s">
        <v>197</v>
      </c>
      <c r="B94">
        <v>38000</v>
      </c>
      <c r="C94" t="s">
        <v>164</v>
      </c>
      <c r="D94">
        <v>2.8999999999999998E-3</v>
      </c>
      <c r="E94">
        <v>2.8999999999999998E-3</v>
      </c>
      <c r="F94">
        <v>3.0000000000000001E-3</v>
      </c>
      <c r="H94" t="s">
        <v>198</v>
      </c>
      <c r="I94" s="18">
        <v>38013</v>
      </c>
      <c r="K94">
        <v>8.5000000000000006E-3</v>
      </c>
      <c r="L94">
        <v>1.4500000000000001E-2</v>
      </c>
      <c r="M94">
        <v>-2.4245362661989844E-14</v>
      </c>
      <c r="AC94" t="s">
        <v>191</v>
      </c>
      <c r="AD94" s="18">
        <v>38008</v>
      </c>
      <c r="AE94" t="s">
        <v>164</v>
      </c>
      <c r="AF94">
        <v>0.34</v>
      </c>
      <c r="AG94">
        <v>0.34</v>
      </c>
      <c r="AH94">
        <v>0.29899999999999999</v>
      </c>
      <c r="AJ94" t="s">
        <v>197</v>
      </c>
      <c r="AK94" s="18">
        <v>38092</v>
      </c>
      <c r="AL94" s="19">
        <v>0.67083333333333328</v>
      </c>
      <c r="AM94">
        <v>-1.6000000000000001E-3</v>
      </c>
      <c r="AN94">
        <v>-1.6000000000000001E-3</v>
      </c>
      <c r="AO94">
        <v>0</v>
      </c>
      <c r="AQ94" t="s">
        <v>196</v>
      </c>
      <c r="AR94" s="18">
        <v>38029</v>
      </c>
      <c r="AS94" t="s">
        <v>164</v>
      </c>
      <c r="AT94">
        <v>1.1999999999999999E-3</v>
      </c>
      <c r="AU94">
        <v>1.1999999999999999E-3</v>
      </c>
      <c r="AV94">
        <v>1E-3</v>
      </c>
      <c r="BL94" t="s">
        <v>153</v>
      </c>
      <c r="BM94" s="18">
        <v>38468</v>
      </c>
      <c r="BN94" t="s">
        <v>164</v>
      </c>
      <c r="BO94">
        <v>-2.4245362661989844E-14</v>
      </c>
      <c r="BP94">
        <v>3.097</v>
      </c>
      <c r="BQ94">
        <v>3.2290000000000001</v>
      </c>
      <c r="BS94" t="s">
        <v>197</v>
      </c>
      <c r="BT94" s="18">
        <v>38099</v>
      </c>
      <c r="BV94">
        <v>-2.4245362661989844E-14</v>
      </c>
      <c r="BW94">
        <v>-2.4245362661989844E-14</v>
      </c>
      <c r="BX94">
        <v>-2.4245362661989844E-14</v>
      </c>
      <c r="BZ94" t="s">
        <v>198</v>
      </c>
      <c r="CA94" s="18">
        <v>38006</v>
      </c>
      <c r="CC94">
        <v>0.09</v>
      </c>
      <c r="CD94">
        <v>0.09</v>
      </c>
      <c r="CE94">
        <v>-2.4245362661989844E-14</v>
      </c>
      <c r="CG94" t="s">
        <v>197</v>
      </c>
      <c r="CH94" s="18">
        <v>37978</v>
      </c>
      <c r="CI94" t="s">
        <v>164</v>
      </c>
      <c r="CJ94">
        <v>-0.02</v>
      </c>
      <c r="CK94">
        <v>-0.02</v>
      </c>
      <c r="CL94">
        <v>-2.4245362661989844E-14</v>
      </c>
      <c r="CN94" t="s">
        <v>198</v>
      </c>
      <c r="CO94" s="18">
        <v>38015</v>
      </c>
      <c r="CP94" t="s">
        <v>164</v>
      </c>
      <c r="CQ94">
        <v>6.8000000000000005E-2</v>
      </c>
      <c r="CR94">
        <v>6.8000000000000005E-2</v>
      </c>
      <c r="CS94">
        <v>-2.4245362661989844E-14</v>
      </c>
      <c r="DW94" t="s">
        <v>190</v>
      </c>
      <c r="DX94" s="18">
        <v>38057</v>
      </c>
      <c r="DY94" t="s">
        <v>164</v>
      </c>
      <c r="DZ94">
        <v>0.12</v>
      </c>
      <c r="EA94">
        <v>0.12</v>
      </c>
      <c r="EB94">
        <v>0.11899999999999999</v>
      </c>
      <c r="EK94" t="s">
        <v>197</v>
      </c>
      <c r="EL94" s="18">
        <v>38064</v>
      </c>
      <c r="EM94" t="s">
        <v>164</v>
      </c>
      <c r="EN94">
        <v>0.25</v>
      </c>
      <c r="EO94">
        <v>0.25</v>
      </c>
      <c r="EP94">
        <v>0.19800000000000001</v>
      </c>
      <c r="EY94" t="s">
        <v>198</v>
      </c>
      <c r="EZ94" s="18">
        <v>38015</v>
      </c>
      <c r="FA94" t="s">
        <v>144</v>
      </c>
      <c r="FB94">
        <v>0.67</v>
      </c>
      <c r="FC94">
        <v>0.67</v>
      </c>
      <c r="FD94">
        <v>0.66900000000000004</v>
      </c>
      <c r="FF94" t="s">
        <v>197</v>
      </c>
      <c r="FG94" s="18">
        <v>38092</v>
      </c>
      <c r="FH94" t="s">
        <v>144</v>
      </c>
      <c r="FI94">
        <v>0.44</v>
      </c>
      <c r="FJ94">
        <v>0.44</v>
      </c>
      <c r="FK94">
        <v>0.432</v>
      </c>
      <c r="FM94" t="s">
        <v>189</v>
      </c>
      <c r="FN94" s="18">
        <v>38553</v>
      </c>
      <c r="FO94" s="19">
        <v>0.29166666666666669</v>
      </c>
      <c r="FP94">
        <v>0.64</v>
      </c>
      <c r="FQ94">
        <v>0.66</v>
      </c>
      <c r="FR94">
        <v>0.66500000000000004</v>
      </c>
      <c r="FT94" t="s">
        <v>191</v>
      </c>
      <c r="FU94" s="18">
        <v>38049</v>
      </c>
      <c r="FV94" t="s">
        <v>144</v>
      </c>
      <c r="FW94">
        <v>0.48</v>
      </c>
      <c r="FX94">
        <v>0.48</v>
      </c>
      <c r="FY94">
        <v>0.46899999999999997</v>
      </c>
      <c r="GA94" t="s">
        <v>198</v>
      </c>
      <c r="GB94" s="18">
        <v>38015</v>
      </c>
      <c r="GC94" t="s">
        <v>144</v>
      </c>
      <c r="GD94">
        <v>0.66800000000000004</v>
      </c>
      <c r="GE94">
        <v>0.66800000000000004</v>
      </c>
      <c r="GF94">
        <v>-2.4245362661989844E-14</v>
      </c>
    </row>
    <row r="95" spans="1:188" x14ac:dyDescent="0.3">
      <c r="A95" t="s">
        <v>198</v>
      </c>
      <c r="B95">
        <v>37909</v>
      </c>
      <c r="C95" t="s">
        <v>164</v>
      </c>
      <c r="D95">
        <v>1.4E-3</v>
      </c>
      <c r="E95">
        <v>1.4E-3</v>
      </c>
      <c r="F95">
        <v>1E-3</v>
      </c>
      <c r="H95" t="s">
        <v>199</v>
      </c>
      <c r="I95" s="18">
        <v>37915</v>
      </c>
      <c r="J95" t="s">
        <v>164</v>
      </c>
      <c r="K95">
        <v>2E-3</v>
      </c>
      <c r="L95">
        <v>5.4999999999999997E-3</v>
      </c>
      <c r="M95">
        <v>-2.4245362661989844E-14</v>
      </c>
      <c r="AC95" t="s">
        <v>197</v>
      </c>
      <c r="AD95" s="18">
        <v>37917</v>
      </c>
      <c r="AE95" t="s">
        <v>164</v>
      </c>
      <c r="AF95">
        <v>0.3</v>
      </c>
      <c r="AG95">
        <v>0.3</v>
      </c>
      <c r="AH95">
        <v>0.28199999999999997</v>
      </c>
      <c r="AJ95" t="s">
        <v>198</v>
      </c>
      <c r="AK95" s="18">
        <v>38007</v>
      </c>
      <c r="AL95" s="19">
        <v>0.67361111111111116</v>
      </c>
      <c r="AM95">
        <v>5.0000000000000001E-4</v>
      </c>
      <c r="AN95">
        <v>5.0000000000000001E-4</v>
      </c>
      <c r="AO95">
        <v>1E-3</v>
      </c>
      <c r="AQ95" t="s">
        <v>190</v>
      </c>
      <c r="AR95" s="18">
        <v>37931</v>
      </c>
      <c r="AS95" t="s">
        <v>164</v>
      </c>
      <c r="AT95">
        <v>2.9999999999999997E-4</v>
      </c>
      <c r="AU95">
        <v>2.9999999999999997E-4</v>
      </c>
      <c r="AV95">
        <v>1E-3</v>
      </c>
      <c r="BL95" t="s">
        <v>196</v>
      </c>
      <c r="BM95" s="18">
        <v>38379</v>
      </c>
      <c r="BO95">
        <v>-2.4245362661989844E-14</v>
      </c>
      <c r="BP95">
        <v>-2.4245362661989844E-14</v>
      </c>
      <c r="BQ95">
        <v>4.0190000000000001</v>
      </c>
      <c r="BS95" t="s">
        <v>219</v>
      </c>
      <c r="BT95" s="18">
        <v>38013</v>
      </c>
      <c r="BV95">
        <v>-2.4245362661989844E-14</v>
      </c>
      <c r="BW95">
        <v>-2.4245362661989844E-14</v>
      </c>
      <c r="BX95">
        <v>-2.4245362661989844E-14</v>
      </c>
      <c r="BZ95" t="s">
        <v>199</v>
      </c>
      <c r="CA95" s="18">
        <v>37910</v>
      </c>
      <c r="CB95" t="s">
        <v>164</v>
      </c>
      <c r="CC95">
        <v>-0.11</v>
      </c>
      <c r="CD95">
        <v>-0.09</v>
      </c>
      <c r="CE95">
        <v>-2.4245362661989844E-14</v>
      </c>
      <c r="CG95" t="s">
        <v>198</v>
      </c>
      <c r="CH95" s="18">
        <v>37888</v>
      </c>
      <c r="CI95" t="s">
        <v>164</v>
      </c>
      <c r="CJ95">
        <v>-0.28000000000000003</v>
      </c>
      <c r="CK95">
        <v>-0.28000000000000003</v>
      </c>
      <c r="CL95">
        <v>-2.4245362661989844E-14</v>
      </c>
      <c r="CN95" t="s">
        <v>199</v>
      </c>
      <c r="CO95" s="18">
        <v>37922</v>
      </c>
      <c r="CP95" t="s">
        <v>164</v>
      </c>
      <c r="CQ95">
        <v>-2.9499999999999998E-2</v>
      </c>
      <c r="CR95">
        <v>-2.9499999999999998E-2</v>
      </c>
      <c r="CS95">
        <v>-2.4245362661989844E-14</v>
      </c>
      <c r="DW95" t="s">
        <v>191</v>
      </c>
      <c r="DX95" s="18">
        <v>37970</v>
      </c>
      <c r="DY95" t="s">
        <v>164</v>
      </c>
      <c r="DZ95">
        <v>0.12</v>
      </c>
      <c r="EA95">
        <v>0.12</v>
      </c>
      <c r="EB95">
        <v>0.109</v>
      </c>
      <c r="EK95" t="s">
        <v>198</v>
      </c>
      <c r="EL95" s="18">
        <v>37966</v>
      </c>
      <c r="EM95" t="s">
        <v>164</v>
      </c>
      <c r="EN95">
        <v>0.17</v>
      </c>
      <c r="EO95">
        <v>0.17</v>
      </c>
      <c r="EP95">
        <v>0.159</v>
      </c>
      <c r="EY95" t="s">
        <v>199</v>
      </c>
      <c r="EZ95" s="18">
        <v>37916</v>
      </c>
      <c r="FA95" t="s">
        <v>164</v>
      </c>
      <c r="FB95">
        <v>0.66</v>
      </c>
      <c r="FC95">
        <v>0.66</v>
      </c>
      <c r="FD95">
        <v>0.66</v>
      </c>
      <c r="FF95" t="s">
        <v>198</v>
      </c>
      <c r="FG95" s="18">
        <v>38008</v>
      </c>
      <c r="FH95" t="s">
        <v>144</v>
      </c>
      <c r="FI95">
        <v>0.41499999999999998</v>
      </c>
      <c r="FJ95">
        <v>0.41499999999999998</v>
      </c>
      <c r="FK95">
        <v>0.39500000000000002</v>
      </c>
      <c r="FM95" t="s">
        <v>153</v>
      </c>
      <c r="FN95" s="18">
        <v>38462</v>
      </c>
      <c r="FO95" s="19">
        <v>0.29166666666666669</v>
      </c>
      <c r="FP95">
        <v>0.81</v>
      </c>
      <c r="FQ95">
        <v>0.81</v>
      </c>
      <c r="FR95">
        <v>-2.4245362661989844E-14</v>
      </c>
      <c r="FT95" t="s">
        <v>197</v>
      </c>
      <c r="FU95" s="18">
        <v>37964</v>
      </c>
      <c r="FV95" t="s">
        <v>144</v>
      </c>
      <c r="FW95">
        <v>0.35</v>
      </c>
      <c r="FX95">
        <v>0.35</v>
      </c>
      <c r="FY95">
        <v>0.313</v>
      </c>
      <c r="GA95" t="s">
        <v>199</v>
      </c>
      <c r="GB95" s="18">
        <v>37924</v>
      </c>
      <c r="GC95" t="s">
        <v>144</v>
      </c>
      <c r="GD95">
        <v>0.55000000000000004</v>
      </c>
      <c r="GE95">
        <v>0.55000000000000004</v>
      </c>
      <c r="GF95">
        <v>-2.4245362661989844E-14</v>
      </c>
    </row>
    <row r="96" spans="1:188" x14ac:dyDescent="0.3">
      <c r="A96" t="s">
        <v>199</v>
      </c>
      <c r="B96">
        <v>37818</v>
      </c>
      <c r="C96" t="s">
        <v>164</v>
      </c>
      <c r="D96">
        <v>8.9999999999999998E-4</v>
      </c>
      <c r="E96">
        <v>8.9999999999999998E-4</v>
      </c>
      <c r="F96">
        <v>0</v>
      </c>
      <c r="H96" t="s">
        <v>200</v>
      </c>
      <c r="I96" s="18">
        <v>37824</v>
      </c>
      <c r="J96" t="s">
        <v>164</v>
      </c>
      <c r="K96">
        <v>5.0000000000000001E-3</v>
      </c>
      <c r="L96">
        <v>5.0000000000000001E-3</v>
      </c>
      <c r="M96">
        <v>-2.4245362661989844E-14</v>
      </c>
      <c r="AC96" t="s">
        <v>198</v>
      </c>
      <c r="AD96" s="18">
        <v>37819</v>
      </c>
      <c r="AE96" t="s">
        <v>164</v>
      </c>
      <c r="AF96">
        <v>0.38</v>
      </c>
      <c r="AG96">
        <v>0.23</v>
      </c>
      <c r="AH96">
        <v>0.23699999999999999</v>
      </c>
      <c r="AJ96" t="s">
        <v>199</v>
      </c>
      <c r="AK96" s="18">
        <v>37909</v>
      </c>
      <c r="AL96" s="19">
        <v>0.67083333333333328</v>
      </c>
      <c r="AM96">
        <v>6.9999999999999999E-4</v>
      </c>
      <c r="AN96">
        <v>6.9999999999999999E-4</v>
      </c>
      <c r="AO96">
        <v>1E-3</v>
      </c>
      <c r="AQ96" t="s">
        <v>191</v>
      </c>
      <c r="AR96" s="18">
        <v>37840</v>
      </c>
      <c r="AS96" t="s">
        <v>164</v>
      </c>
      <c r="AT96">
        <v>1.1999999999999999E-3</v>
      </c>
      <c r="AU96">
        <v>1.1999999999999999E-3</v>
      </c>
      <c r="AV96">
        <v>1E-3</v>
      </c>
      <c r="BL96" t="s">
        <v>190</v>
      </c>
      <c r="BM96" s="18">
        <v>38285</v>
      </c>
      <c r="BO96">
        <v>-2.4245362661989844E-14</v>
      </c>
      <c r="BP96">
        <v>-2.4245362661989844E-14</v>
      </c>
      <c r="BQ96">
        <v>4.8369999999999997</v>
      </c>
      <c r="BS96" t="s">
        <v>199</v>
      </c>
      <c r="BT96" s="18">
        <v>37910</v>
      </c>
      <c r="BV96">
        <v>-2.4245362661989844E-14</v>
      </c>
      <c r="BW96">
        <v>-2.4245362661989844E-14</v>
      </c>
      <c r="BX96">
        <v>-2.4245362661989844E-14</v>
      </c>
      <c r="BZ96" t="s">
        <v>200</v>
      </c>
      <c r="CA96" s="18">
        <v>37818</v>
      </c>
      <c r="CC96">
        <v>-0.4</v>
      </c>
      <c r="CD96">
        <v>-0.4</v>
      </c>
      <c r="CE96">
        <v>-2.4245362661989844E-14</v>
      </c>
      <c r="CG96" t="s">
        <v>199</v>
      </c>
      <c r="CH96" s="18">
        <v>37790</v>
      </c>
      <c r="CI96" t="s">
        <v>164</v>
      </c>
      <c r="CJ96">
        <v>-0.36</v>
      </c>
      <c r="CK96">
        <v>-0.56000000000000005</v>
      </c>
      <c r="CL96">
        <v>-2.4245362661989844E-14</v>
      </c>
      <c r="CN96" t="s">
        <v>200</v>
      </c>
      <c r="CO96" s="18">
        <v>37831</v>
      </c>
      <c r="CP96" t="s">
        <v>164</v>
      </c>
      <c r="CQ96">
        <v>1.4999999999999999E-2</v>
      </c>
      <c r="CR96">
        <v>0.03</v>
      </c>
      <c r="CS96">
        <v>-2.4245362661989844E-14</v>
      </c>
      <c r="DW96" t="s">
        <v>197</v>
      </c>
      <c r="DX96" s="18">
        <v>37876</v>
      </c>
      <c r="DY96" t="s">
        <v>144</v>
      </c>
      <c r="DZ96">
        <v>0.08</v>
      </c>
      <c r="EA96">
        <v>0.08</v>
      </c>
      <c r="EB96">
        <v>8.1000000000000003E-2</v>
      </c>
      <c r="EK96" t="s">
        <v>199</v>
      </c>
      <c r="EL96" s="18">
        <v>37874</v>
      </c>
      <c r="EM96" t="s">
        <v>164</v>
      </c>
      <c r="EN96">
        <v>0.14000000000000001</v>
      </c>
      <c r="EO96">
        <v>0.14000000000000001</v>
      </c>
      <c r="EP96">
        <v>0.123</v>
      </c>
      <c r="EY96" t="s">
        <v>200</v>
      </c>
      <c r="EZ96" s="18">
        <v>37826</v>
      </c>
      <c r="FA96" t="s">
        <v>144</v>
      </c>
      <c r="FB96">
        <v>0.64</v>
      </c>
      <c r="FC96">
        <v>0.64</v>
      </c>
      <c r="FD96">
        <v>0.60499999999999998</v>
      </c>
      <c r="FF96" t="s">
        <v>199</v>
      </c>
      <c r="FG96" s="18">
        <v>37910</v>
      </c>
      <c r="FH96" t="s">
        <v>144</v>
      </c>
      <c r="FI96">
        <v>0.38500000000000001</v>
      </c>
      <c r="FJ96">
        <v>0.38500000000000001</v>
      </c>
      <c r="FK96">
        <v>0.371</v>
      </c>
      <c r="FM96" t="s">
        <v>196</v>
      </c>
      <c r="FN96" s="18">
        <v>38371</v>
      </c>
      <c r="FO96" t="s">
        <v>144</v>
      </c>
      <c r="FP96">
        <v>0.64</v>
      </c>
      <c r="FQ96">
        <v>0.64</v>
      </c>
      <c r="FR96">
        <v>-2.4245362661989844E-14</v>
      </c>
      <c r="FT96" t="s">
        <v>198</v>
      </c>
      <c r="FU96" s="18">
        <v>37902</v>
      </c>
      <c r="FV96" t="s">
        <v>144</v>
      </c>
      <c r="FW96">
        <v>0.52</v>
      </c>
      <c r="FX96">
        <v>0.52</v>
      </c>
      <c r="FY96">
        <v>0.47099999999999997</v>
      </c>
      <c r="GA96" t="s">
        <v>200</v>
      </c>
      <c r="GB96" s="18">
        <v>37833</v>
      </c>
      <c r="GD96">
        <v>0.62</v>
      </c>
      <c r="GE96">
        <v>0.62</v>
      </c>
      <c r="GF96">
        <v>-2.4245362661989844E-14</v>
      </c>
    </row>
    <row r="97" spans="1:188" x14ac:dyDescent="0.3">
      <c r="A97" t="s">
        <v>200</v>
      </c>
      <c r="B97">
        <v>37727</v>
      </c>
      <c r="C97" t="s">
        <v>164</v>
      </c>
      <c r="D97">
        <v>6.9999999999999999E-4</v>
      </c>
      <c r="E97">
        <v>6.9999999999999999E-4</v>
      </c>
      <c r="F97">
        <v>0</v>
      </c>
      <c r="H97" t="s">
        <v>201</v>
      </c>
      <c r="I97" s="18">
        <v>37735</v>
      </c>
      <c r="K97">
        <v>-1.5E-3</v>
      </c>
      <c r="L97">
        <v>5.0000000000000001E-3</v>
      </c>
      <c r="M97">
        <v>-2.4245362661989844E-14</v>
      </c>
      <c r="AC97" t="s">
        <v>199</v>
      </c>
      <c r="AD97" s="18">
        <v>37726</v>
      </c>
      <c r="AE97" t="s">
        <v>164</v>
      </c>
      <c r="AF97">
        <v>0.26</v>
      </c>
      <c r="AG97">
        <v>0.26</v>
      </c>
      <c r="AH97">
        <v>0.24</v>
      </c>
      <c r="AJ97" t="s">
        <v>200</v>
      </c>
      <c r="AK97" s="18">
        <v>37819</v>
      </c>
      <c r="AL97" s="19">
        <v>0.66805555555555551</v>
      </c>
      <c r="AM97">
        <v>8.0000000000000004E-4</v>
      </c>
      <c r="AN97">
        <v>8.0000000000000004E-4</v>
      </c>
      <c r="AO97">
        <v>1E-3</v>
      </c>
      <c r="AQ97" t="s">
        <v>197</v>
      </c>
      <c r="AR97" s="18">
        <v>37749</v>
      </c>
      <c r="AT97">
        <v>1E-3</v>
      </c>
      <c r="AU97">
        <v>1E-3</v>
      </c>
      <c r="AV97">
        <v>1E-3</v>
      </c>
      <c r="BL97" t="s">
        <v>191</v>
      </c>
      <c r="BM97" s="18">
        <v>38197</v>
      </c>
      <c r="BN97" s="19">
        <v>0.5625</v>
      </c>
      <c r="BO97">
        <v>-2.4245362661989844E-14</v>
      </c>
      <c r="BP97">
        <v>-2.4245362661989844E-14</v>
      </c>
      <c r="BQ97">
        <v>3.9470000000000001</v>
      </c>
      <c r="BS97" t="s">
        <v>220</v>
      </c>
      <c r="BT97" s="18">
        <v>37824</v>
      </c>
      <c r="BV97">
        <v>-2.4245362661989844E-14</v>
      </c>
      <c r="BW97">
        <v>-2.4245362661989844E-14</v>
      </c>
      <c r="BX97">
        <v>-2.4245362661989844E-14</v>
      </c>
      <c r="BZ97" t="s">
        <v>201</v>
      </c>
      <c r="CA97" s="18">
        <v>37727</v>
      </c>
      <c r="CB97" t="s">
        <v>164</v>
      </c>
      <c r="CC97">
        <v>-0.42</v>
      </c>
      <c r="CD97">
        <v>-0.42</v>
      </c>
      <c r="CE97">
        <v>-2.4245362661989844E-14</v>
      </c>
      <c r="CG97" t="s">
        <v>200</v>
      </c>
      <c r="CH97" s="18">
        <v>37700</v>
      </c>
      <c r="CI97" t="s">
        <v>164</v>
      </c>
      <c r="CJ97">
        <v>-1.02</v>
      </c>
      <c r="CK97">
        <v>-0.64</v>
      </c>
      <c r="CL97">
        <v>-2.4245362661989844E-14</v>
      </c>
      <c r="CN97" t="s">
        <v>201</v>
      </c>
      <c r="CO97" s="18">
        <v>37740</v>
      </c>
      <c r="CP97" t="s">
        <v>164</v>
      </c>
      <c r="CQ97">
        <v>5.0000000000000001E-3</v>
      </c>
      <c r="CR97">
        <v>1.2E-2</v>
      </c>
      <c r="CS97">
        <v>-2.4245362661989844E-14</v>
      </c>
      <c r="DW97" t="s">
        <v>198</v>
      </c>
      <c r="DX97" s="18">
        <v>37784</v>
      </c>
      <c r="DY97" t="s">
        <v>164</v>
      </c>
      <c r="DZ97">
        <v>0.16</v>
      </c>
      <c r="EA97">
        <v>0.16</v>
      </c>
      <c r="EB97">
        <v>0.14000000000000001</v>
      </c>
      <c r="EK97" t="s">
        <v>200</v>
      </c>
      <c r="EL97" s="18">
        <v>37784</v>
      </c>
      <c r="EM97" t="s">
        <v>164</v>
      </c>
      <c r="EN97">
        <v>0.13500000000000001</v>
      </c>
      <c r="EO97">
        <v>0.14000000000000001</v>
      </c>
      <c r="EP97">
        <v>0.13100000000000001</v>
      </c>
      <c r="EY97" t="s">
        <v>201</v>
      </c>
      <c r="EZ97" s="18">
        <v>37733</v>
      </c>
      <c r="FB97">
        <v>0.61</v>
      </c>
      <c r="FC97">
        <v>0.61</v>
      </c>
      <c r="FD97">
        <v>0.57699999999999996</v>
      </c>
      <c r="FF97" t="s">
        <v>200</v>
      </c>
      <c r="FG97" s="18">
        <v>37819</v>
      </c>
      <c r="FH97" t="s">
        <v>144</v>
      </c>
      <c r="FI97">
        <v>0.35499999999999998</v>
      </c>
      <c r="FJ97">
        <v>0.35499999999999998</v>
      </c>
      <c r="FK97">
        <v>0.33700000000000002</v>
      </c>
      <c r="FM97" t="s">
        <v>190</v>
      </c>
      <c r="FN97" s="18">
        <v>38280</v>
      </c>
      <c r="FO97" s="19">
        <v>0.29166666666666669</v>
      </c>
      <c r="FP97">
        <v>0.6</v>
      </c>
      <c r="FQ97">
        <v>0.6</v>
      </c>
      <c r="FR97">
        <v>-2.4245362661989844E-14</v>
      </c>
      <c r="FT97" t="s">
        <v>199</v>
      </c>
      <c r="FU97" s="18">
        <v>37769</v>
      </c>
      <c r="FV97" t="s">
        <v>144</v>
      </c>
      <c r="FW97">
        <v>0.34</v>
      </c>
      <c r="FX97">
        <v>0.34</v>
      </c>
      <c r="FY97">
        <v>0.311</v>
      </c>
      <c r="GA97" t="s">
        <v>201</v>
      </c>
      <c r="GB97" s="18">
        <v>37742</v>
      </c>
      <c r="GD97">
        <v>0.71299999999999997</v>
      </c>
      <c r="GE97">
        <v>0.71299999999999997</v>
      </c>
      <c r="GF97">
        <v>-2.4245362661989844E-14</v>
      </c>
    </row>
    <row r="98" spans="1:188" x14ac:dyDescent="0.3">
      <c r="A98" t="s">
        <v>201</v>
      </c>
      <c r="B98">
        <v>37636</v>
      </c>
      <c r="C98" t="s">
        <v>164</v>
      </c>
      <c r="D98">
        <v>-4.0000000000000002E-4</v>
      </c>
      <c r="E98">
        <v>5.0000000000000001E-4</v>
      </c>
      <c r="F98">
        <v>1E-3</v>
      </c>
      <c r="H98" t="s">
        <v>202</v>
      </c>
      <c r="I98" s="18">
        <v>37644</v>
      </c>
      <c r="K98">
        <v>9.4999999999999998E-3</v>
      </c>
      <c r="L98">
        <v>9.4999999999999998E-3</v>
      </c>
      <c r="M98">
        <v>-2.4245362661989844E-14</v>
      </c>
      <c r="AC98" t="s">
        <v>200</v>
      </c>
      <c r="AD98" s="18">
        <v>37637</v>
      </c>
      <c r="AE98" t="s">
        <v>164</v>
      </c>
      <c r="AF98">
        <v>8.5000000000000006E-2</v>
      </c>
      <c r="AG98">
        <v>0.27</v>
      </c>
      <c r="AH98">
        <v>0.23200000000000001</v>
      </c>
      <c r="AJ98" t="s">
        <v>201</v>
      </c>
      <c r="AK98" s="18">
        <v>37728</v>
      </c>
      <c r="AL98" s="19">
        <v>0.67083333333333328</v>
      </c>
      <c r="AM98">
        <v>-5.9999999999999995E-4</v>
      </c>
      <c r="AN98">
        <v>-1.4E-3</v>
      </c>
      <c r="AO98">
        <v>-1E-3</v>
      </c>
      <c r="AQ98" t="s">
        <v>198</v>
      </c>
      <c r="AR98" s="18">
        <v>37665</v>
      </c>
      <c r="AT98">
        <v>2.5000000000000001E-3</v>
      </c>
      <c r="AU98">
        <v>2.5000000000000001E-3</v>
      </c>
      <c r="AV98">
        <v>0</v>
      </c>
      <c r="BL98" t="s">
        <v>197</v>
      </c>
      <c r="BM98" s="18">
        <v>38104</v>
      </c>
      <c r="BO98">
        <v>-2.4245362661989844E-14</v>
      </c>
      <c r="BP98">
        <v>-2.4245362661989844E-14</v>
      </c>
      <c r="BQ98">
        <v>3.036</v>
      </c>
      <c r="BS98" t="s">
        <v>201</v>
      </c>
      <c r="BT98" s="18">
        <v>37727</v>
      </c>
      <c r="BV98">
        <v>-2.4245362661989844E-14</v>
      </c>
      <c r="BW98">
        <v>-2.4245362661989844E-14</v>
      </c>
      <c r="BX98">
        <v>-2.4245362661989844E-14</v>
      </c>
      <c r="BZ98" t="s">
        <v>202</v>
      </c>
      <c r="CA98" s="18">
        <v>37637</v>
      </c>
      <c r="CC98">
        <v>-0.69</v>
      </c>
      <c r="CD98">
        <v>-0.68</v>
      </c>
      <c r="CE98">
        <v>-2.4245362661989844E-14</v>
      </c>
      <c r="CG98" t="s">
        <v>201</v>
      </c>
      <c r="CH98" s="18">
        <v>37607</v>
      </c>
      <c r="CI98" t="s">
        <v>164</v>
      </c>
      <c r="CJ98">
        <v>-0.52</v>
      </c>
      <c r="CK98">
        <v>-0.56999999999999995</v>
      </c>
      <c r="CL98">
        <v>-2.4245362661989844E-14</v>
      </c>
      <c r="CN98" t="s">
        <v>202</v>
      </c>
      <c r="CO98" s="18">
        <v>37651</v>
      </c>
      <c r="CP98" t="s">
        <v>164</v>
      </c>
      <c r="CQ98">
        <v>0.03</v>
      </c>
      <c r="CR98">
        <v>0.04</v>
      </c>
      <c r="CS98">
        <v>-2.4245362661989844E-14</v>
      </c>
      <c r="DW98" t="s">
        <v>199</v>
      </c>
      <c r="DX98" s="18">
        <v>37698</v>
      </c>
      <c r="DY98" t="s">
        <v>164</v>
      </c>
      <c r="DZ98">
        <v>0.11</v>
      </c>
      <c r="EA98">
        <v>0.11</v>
      </c>
      <c r="EB98">
        <v>0.1</v>
      </c>
      <c r="EK98" t="s">
        <v>201</v>
      </c>
      <c r="EL98" s="18">
        <v>37693</v>
      </c>
      <c r="EM98" t="s">
        <v>164</v>
      </c>
      <c r="EN98">
        <v>0.125</v>
      </c>
      <c r="EO98">
        <v>0.125</v>
      </c>
      <c r="EP98">
        <v>0.108</v>
      </c>
      <c r="EY98" t="s">
        <v>202</v>
      </c>
      <c r="EZ98" s="18">
        <v>37644</v>
      </c>
      <c r="FA98" t="s">
        <v>144</v>
      </c>
      <c r="FB98">
        <v>0.68</v>
      </c>
      <c r="FC98">
        <v>0.68</v>
      </c>
      <c r="FD98">
        <v>0.68300000000000005</v>
      </c>
      <c r="FF98" t="s">
        <v>201</v>
      </c>
      <c r="FG98" s="18">
        <v>37727</v>
      </c>
      <c r="FH98" t="s">
        <v>144</v>
      </c>
      <c r="FI98">
        <v>0.32250000000000001</v>
      </c>
      <c r="FJ98">
        <v>0.32250000000000001</v>
      </c>
      <c r="FK98">
        <v>0.311</v>
      </c>
      <c r="FM98" t="s">
        <v>191</v>
      </c>
      <c r="FN98" s="18">
        <v>38189</v>
      </c>
      <c r="FO98" s="19">
        <v>0.29166666666666669</v>
      </c>
      <c r="FP98">
        <v>0.85</v>
      </c>
      <c r="FQ98">
        <v>0.85</v>
      </c>
      <c r="FR98">
        <v>-2.4245362661989844E-14</v>
      </c>
      <c r="FT98" t="s">
        <v>200</v>
      </c>
      <c r="FU98" s="18">
        <v>37685</v>
      </c>
      <c r="FW98">
        <v>0.43</v>
      </c>
      <c r="FX98">
        <v>0.43</v>
      </c>
      <c r="FY98">
        <v>0.42399999999999999</v>
      </c>
      <c r="GA98" t="s">
        <v>202</v>
      </c>
      <c r="GB98" s="18">
        <v>37651</v>
      </c>
      <c r="GD98">
        <v>0.56000000000000005</v>
      </c>
      <c r="GE98">
        <v>0.56000000000000005</v>
      </c>
      <c r="GF98">
        <v>-2.4245362661989844E-14</v>
      </c>
    </row>
    <row r="99" spans="1:188" x14ac:dyDescent="0.3">
      <c r="A99" t="s">
        <v>202</v>
      </c>
      <c r="B99">
        <v>37545</v>
      </c>
      <c r="C99" t="s">
        <v>164</v>
      </c>
      <c r="D99">
        <v>4.0000000000000002E-4</v>
      </c>
      <c r="E99">
        <v>4.0000000000000002E-4</v>
      </c>
      <c r="F99">
        <v>0</v>
      </c>
      <c r="H99" t="s">
        <v>203</v>
      </c>
      <c r="I99" s="18">
        <v>37553</v>
      </c>
      <c r="K99">
        <v>-4.4999999999999997E-3</v>
      </c>
      <c r="L99">
        <v>0</v>
      </c>
      <c r="M99">
        <v>-2.4245362661989844E-14</v>
      </c>
      <c r="AC99" t="s">
        <v>201</v>
      </c>
      <c r="AD99" s="18">
        <v>37546</v>
      </c>
      <c r="AE99" t="s">
        <v>164</v>
      </c>
      <c r="AF99">
        <v>9.5000000000000001E-2</v>
      </c>
      <c r="AG99">
        <v>0.28000000000000003</v>
      </c>
      <c r="AH99">
        <v>0.21099999999999999</v>
      </c>
      <c r="AJ99" t="s">
        <v>202</v>
      </c>
      <c r="AK99" s="18">
        <v>37636</v>
      </c>
      <c r="AL99" s="19">
        <v>0.67083333333333328</v>
      </c>
      <c r="AM99">
        <v>-6.9999999999999999E-4</v>
      </c>
      <c r="AN99">
        <v>-6.9999999999999999E-4</v>
      </c>
      <c r="AO99">
        <v>-1E-3</v>
      </c>
      <c r="AQ99" t="s">
        <v>199</v>
      </c>
      <c r="AR99" s="18">
        <v>37567</v>
      </c>
      <c r="AS99" t="s">
        <v>164</v>
      </c>
      <c r="AT99">
        <v>-5.0000000000000001E-4</v>
      </c>
      <c r="AU99">
        <v>-5.0000000000000001E-4</v>
      </c>
      <c r="AV99">
        <v>1E-3</v>
      </c>
      <c r="BL99" t="s">
        <v>219</v>
      </c>
      <c r="BM99" s="18">
        <v>38015</v>
      </c>
      <c r="BO99">
        <v>8.9553999999999991</v>
      </c>
      <c r="BP99">
        <v>9.3015000000000008</v>
      </c>
      <c r="BQ99">
        <v>8.9809999999999999</v>
      </c>
      <c r="BS99" t="s">
        <v>221</v>
      </c>
      <c r="BT99" s="18">
        <v>37644</v>
      </c>
      <c r="BV99">
        <v>-2.4245362661989844E-14</v>
      </c>
      <c r="BW99">
        <v>-2.4245362661989844E-14</v>
      </c>
      <c r="BX99">
        <v>-2.4245362661989844E-14</v>
      </c>
      <c r="BZ99" t="s">
        <v>203</v>
      </c>
      <c r="CA99" s="18">
        <v>37545</v>
      </c>
      <c r="CB99" t="s">
        <v>164</v>
      </c>
      <c r="CC99">
        <v>-0.74</v>
      </c>
      <c r="CD99">
        <v>-0.74</v>
      </c>
      <c r="CE99">
        <v>-2.4245362661989844E-14</v>
      </c>
      <c r="CG99" t="s">
        <v>202</v>
      </c>
      <c r="CH99" s="18">
        <v>37523</v>
      </c>
      <c r="CI99" t="s">
        <v>164</v>
      </c>
      <c r="CJ99">
        <v>-0.97</v>
      </c>
      <c r="CK99">
        <v>-0.18</v>
      </c>
      <c r="CL99">
        <v>-2.4245362661989844E-14</v>
      </c>
      <c r="CN99" t="s">
        <v>203</v>
      </c>
      <c r="CO99" s="18">
        <v>37553</v>
      </c>
      <c r="CP99" t="s">
        <v>164</v>
      </c>
      <c r="CQ99">
        <v>1.7999999999999999E-2</v>
      </c>
      <c r="CR99">
        <v>8.0000000000000002E-3</v>
      </c>
      <c r="CS99">
        <v>-2.4245362661989844E-14</v>
      </c>
      <c r="DW99" t="s">
        <v>200</v>
      </c>
      <c r="DX99" s="18">
        <v>37608</v>
      </c>
      <c r="DY99" t="s">
        <v>164</v>
      </c>
      <c r="DZ99">
        <v>0.1</v>
      </c>
      <c r="EA99">
        <v>0.1</v>
      </c>
      <c r="EB99">
        <v>8.4000000000000005E-2</v>
      </c>
      <c r="EK99" t="s">
        <v>202</v>
      </c>
      <c r="EL99" s="18">
        <v>37602</v>
      </c>
      <c r="EM99" t="s">
        <v>164</v>
      </c>
      <c r="EN99">
        <v>0.125</v>
      </c>
      <c r="EO99">
        <v>0.125</v>
      </c>
      <c r="EP99">
        <v>0.113</v>
      </c>
      <c r="EY99" t="s">
        <v>203</v>
      </c>
      <c r="EZ99" s="18">
        <v>37552</v>
      </c>
      <c r="FA99" t="s">
        <v>144</v>
      </c>
      <c r="FB99">
        <v>0.68</v>
      </c>
      <c r="FC99">
        <v>0.68</v>
      </c>
      <c r="FD99">
        <v>0.68200000000000005</v>
      </c>
      <c r="FF99" t="s">
        <v>202</v>
      </c>
      <c r="FG99" s="18">
        <v>37644</v>
      </c>
      <c r="FH99" t="s">
        <v>144</v>
      </c>
      <c r="FI99">
        <v>0.3</v>
      </c>
      <c r="FJ99">
        <v>0.3</v>
      </c>
      <c r="FK99">
        <v>0.28999999999999998</v>
      </c>
      <c r="FM99" t="s">
        <v>197</v>
      </c>
      <c r="FN99" s="18">
        <v>38098</v>
      </c>
      <c r="FO99" t="s">
        <v>144</v>
      </c>
      <c r="FP99">
        <v>0.92</v>
      </c>
      <c r="FQ99">
        <v>0.92</v>
      </c>
      <c r="FR99">
        <v>-2.4245362661989844E-14</v>
      </c>
      <c r="FT99" t="s">
        <v>201</v>
      </c>
      <c r="FU99" s="18">
        <v>37602</v>
      </c>
      <c r="FW99">
        <v>0.32</v>
      </c>
      <c r="FX99">
        <v>0.32</v>
      </c>
      <c r="FY99">
        <v>0.308</v>
      </c>
      <c r="GA99" t="s">
        <v>203</v>
      </c>
      <c r="GB99" s="18">
        <v>37560</v>
      </c>
      <c r="GD99">
        <v>0.44</v>
      </c>
      <c r="GE99">
        <v>-2.4245362661989844E-14</v>
      </c>
      <c r="GF99">
        <v>-2.4245362661989844E-14</v>
      </c>
    </row>
    <row r="100" spans="1:188" x14ac:dyDescent="0.3">
      <c r="A100" t="s">
        <v>203</v>
      </c>
      <c r="B100">
        <v>37453</v>
      </c>
      <c r="C100" t="s">
        <v>164</v>
      </c>
      <c r="D100">
        <v>1.6000000000000001E-3</v>
      </c>
      <c r="E100">
        <v>1.6000000000000001E-3</v>
      </c>
      <c r="F100">
        <v>2E-3</v>
      </c>
      <c r="H100" t="s">
        <v>204</v>
      </c>
      <c r="I100" s="18">
        <v>37460</v>
      </c>
      <c r="K100">
        <v>-1.2500000000000001E-2</v>
      </c>
      <c r="L100">
        <v>-5.0000000000000001E-4</v>
      </c>
      <c r="M100">
        <v>-2.4245362661989844E-14</v>
      </c>
      <c r="AC100" t="s">
        <v>202</v>
      </c>
      <c r="AD100" s="18">
        <v>37455</v>
      </c>
      <c r="AE100" t="s">
        <v>164</v>
      </c>
      <c r="AF100">
        <v>0.215</v>
      </c>
      <c r="AG100">
        <v>0.215</v>
      </c>
      <c r="AH100">
        <v>0.20799999999999999</v>
      </c>
      <c r="AJ100" t="s">
        <v>203</v>
      </c>
      <c r="AK100" s="18">
        <v>37546</v>
      </c>
      <c r="AL100" s="19">
        <v>0.66736111111111107</v>
      </c>
      <c r="AM100">
        <v>-8.9999999999999998E-4</v>
      </c>
      <c r="AN100">
        <v>-5.9999999999999995E-4</v>
      </c>
      <c r="AO100">
        <v>-1E-3</v>
      </c>
      <c r="AQ100" t="s">
        <v>200</v>
      </c>
      <c r="AR100" s="18">
        <v>37483</v>
      </c>
      <c r="AS100" t="s">
        <v>164</v>
      </c>
      <c r="AT100">
        <v>2.0000000000000001E-4</v>
      </c>
      <c r="AU100">
        <v>2.9999999999999997E-4</v>
      </c>
      <c r="AV100">
        <v>1E-3</v>
      </c>
      <c r="BL100" t="s">
        <v>198</v>
      </c>
      <c r="BM100" s="18">
        <v>38071</v>
      </c>
      <c r="BO100">
        <v>-2.4245362661989844E-14</v>
      </c>
      <c r="BP100">
        <v>-2.4245362661989844E-14</v>
      </c>
      <c r="BQ100">
        <v>3.117</v>
      </c>
      <c r="BS100" t="s">
        <v>203</v>
      </c>
      <c r="BT100" s="18">
        <v>37546</v>
      </c>
      <c r="BV100">
        <v>-2.4245362661989844E-14</v>
      </c>
      <c r="BW100">
        <v>-2.4245362661989844E-14</v>
      </c>
      <c r="BX100">
        <v>-2.4245362661989844E-14</v>
      </c>
      <c r="BZ100" t="s">
        <v>204</v>
      </c>
      <c r="CA100" s="18">
        <v>37454</v>
      </c>
      <c r="CB100" t="s">
        <v>164</v>
      </c>
      <c r="CC100">
        <v>-0.54</v>
      </c>
      <c r="CD100">
        <v>-0.54</v>
      </c>
      <c r="CE100">
        <v>-2.4245362661989844E-14</v>
      </c>
      <c r="CG100" t="s">
        <v>203</v>
      </c>
      <c r="CH100" s="18">
        <v>37432</v>
      </c>
      <c r="CI100" t="s">
        <v>164</v>
      </c>
      <c r="CJ100">
        <v>-0.04</v>
      </c>
      <c r="CK100">
        <v>-0.04</v>
      </c>
      <c r="CL100">
        <v>-2.4245362661989844E-14</v>
      </c>
      <c r="CN100" t="s">
        <v>204</v>
      </c>
      <c r="CO100" s="18">
        <v>37467</v>
      </c>
      <c r="CP100" t="s">
        <v>164</v>
      </c>
      <c r="CQ100">
        <v>2.41</v>
      </c>
      <c r="CR100">
        <v>0.05</v>
      </c>
      <c r="CS100">
        <v>-2.4245362661989844E-14</v>
      </c>
      <c r="DW100" t="s">
        <v>201</v>
      </c>
      <c r="DX100" s="18">
        <v>37516</v>
      </c>
      <c r="DY100" t="s">
        <v>164</v>
      </c>
      <c r="DZ100">
        <v>0.06</v>
      </c>
      <c r="EA100">
        <v>7.0000000000000007E-2</v>
      </c>
      <c r="EB100">
        <v>7.1999999999999995E-2</v>
      </c>
      <c r="EK100" t="s">
        <v>203</v>
      </c>
      <c r="EL100" s="18">
        <v>37511</v>
      </c>
      <c r="EM100" t="s">
        <v>164</v>
      </c>
      <c r="EN100">
        <v>9.5000000000000001E-2</v>
      </c>
      <c r="EO100">
        <v>0.11</v>
      </c>
      <c r="EP100">
        <v>9.6000000000000002E-2</v>
      </c>
      <c r="EY100" t="s">
        <v>204</v>
      </c>
      <c r="EZ100" s="18">
        <v>37455</v>
      </c>
      <c r="FA100" t="s">
        <v>144</v>
      </c>
      <c r="FB100">
        <v>0.61</v>
      </c>
      <c r="FC100">
        <v>0.61</v>
      </c>
      <c r="FD100">
        <v>0.61399999999999999</v>
      </c>
      <c r="FF100" t="s">
        <v>203</v>
      </c>
      <c r="FG100" s="18">
        <v>37546</v>
      </c>
      <c r="FH100" t="s">
        <v>144</v>
      </c>
      <c r="FI100">
        <v>0.28000000000000003</v>
      </c>
      <c r="FJ100">
        <v>0.28000000000000003</v>
      </c>
      <c r="FK100">
        <v>0.26600000000000001</v>
      </c>
      <c r="FM100" t="s">
        <v>198</v>
      </c>
      <c r="FN100" s="18">
        <v>38007</v>
      </c>
      <c r="FO100" t="s">
        <v>144</v>
      </c>
      <c r="FP100">
        <v>0.89</v>
      </c>
      <c r="FQ100">
        <v>0.89</v>
      </c>
      <c r="FR100">
        <v>-2.4245362661989844E-14</v>
      </c>
      <c r="FT100" t="s">
        <v>202</v>
      </c>
      <c r="FU100" s="18">
        <v>37539</v>
      </c>
      <c r="FV100" t="s">
        <v>144</v>
      </c>
      <c r="FW100">
        <v>0.52</v>
      </c>
      <c r="FX100">
        <v>0.53</v>
      </c>
      <c r="FY100">
        <v>0.49299999999999999</v>
      </c>
      <c r="GA100" t="s">
        <v>204</v>
      </c>
      <c r="GB100" s="18">
        <v>37469</v>
      </c>
      <c r="GD100">
        <v>0.38</v>
      </c>
      <c r="GE100">
        <v>0.39</v>
      </c>
      <c r="GF100">
        <v>-2.4245362661989844E-14</v>
      </c>
    </row>
    <row r="101" spans="1:188" x14ac:dyDescent="0.3">
      <c r="A101" t="s">
        <v>204</v>
      </c>
      <c r="B101">
        <v>37363</v>
      </c>
      <c r="C101" t="s">
        <v>164</v>
      </c>
      <c r="D101">
        <v>2E-3</v>
      </c>
      <c r="E101">
        <v>2E-3</v>
      </c>
      <c r="F101">
        <v>2E-3</v>
      </c>
      <c r="H101" t="s">
        <v>205</v>
      </c>
      <c r="I101" s="18">
        <v>37369</v>
      </c>
      <c r="K101">
        <v>-3.0000000000000001E-3</v>
      </c>
      <c r="L101">
        <v>-5.0000000000000001E-4</v>
      </c>
      <c r="M101">
        <v>-2.4245362661989844E-14</v>
      </c>
      <c r="AC101" t="s">
        <v>203</v>
      </c>
      <c r="AD101" s="18">
        <v>37364</v>
      </c>
      <c r="AE101" t="s">
        <v>164</v>
      </c>
      <c r="AF101">
        <v>0.35189999999999999</v>
      </c>
      <c r="AG101">
        <v>0.245</v>
      </c>
      <c r="AH101">
        <v>0.252</v>
      </c>
      <c r="AJ101" t="s">
        <v>204</v>
      </c>
      <c r="AK101" s="18">
        <v>37461</v>
      </c>
      <c r="AL101" s="19">
        <v>0.67152777777777772</v>
      </c>
      <c r="AM101">
        <v>-9.4000000000000004E-3</v>
      </c>
      <c r="AN101">
        <v>-9.1000000000000004E-3</v>
      </c>
      <c r="AO101">
        <v>0</v>
      </c>
      <c r="AQ101" t="s">
        <v>201</v>
      </c>
      <c r="AR101" s="18">
        <v>37398</v>
      </c>
      <c r="AT101">
        <v>3.8999999999999998E-3</v>
      </c>
      <c r="AU101">
        <v>3.8999999999999998E-3</v>
      </c>
      <c r="AV101">
        <v>4.0000000000000001E-3</v>
      </c>
      <c r="BL101" t="s">
        <v>199</v>
      </c>
      <c r="BM101" s="18">
        <v>37921</v>
      </c>
      <c r="BO101">
        <v>-2.4245362661989844E-14</v>
      </c>
      <c r="BP101">
        <v>-2.4245362661989844E-14</v>
      </c>
      <c r="BQ101">
        <v>2.6160000000000001</v>
      </c>
      <c r="BS101" t="s">
        <v>204</v>
      </c>
      <c r="BT101" s="18">
        <v>37455</v>
      </c>
      <c r="BV101">
        <v>-2.4245362661989844E-14</v>
      </c>
      <c r="BW101">
        <v>-2.4245362661989844E-14</v>
      </c>
      <c r="BX101">
        <v>-2.4245362661989844E-14</v>
      </c>
      <c r="BZ101" t="s">
        <v>205</v>
      </c>
      <c r="CA101" s="18">
        <v>37363</v>
      </c>
      <c r="CB101" t="s">
        <v>164</v>
      </c>
      <c r="CC101">
        <v>-0.03</v>
      </c>
      <c r="CD101">
        <v>-0.03</v>
      </c>
      <c r="CE101">
        <v>-2.4245362661989844E-14</v>
      </c>
      <c r="CG101" t="s">
        <v>204</v>
      </c>
      <c r="CH101" s="18">
        <v>37336</v>
      </c>
      <c r="CI101" t="s">
        <v>164</v>
      </c>
      <c r="CJ101">
        <v>-0.05</v>
      </c>
      <c r="CK101">
        <v>-0.05</v>
      </c>
      <c r="CL101">
        <v>-2.4245362661989844E-14</v>
      </c>
      <c r="CN101" t="s">
        <v>205</v>
      </c>
      <c r="CO101" s="18">
        <v>37375</v>
      </c>
      <c r="CP101" t="s">
        <v>164</v>
      </c>
      <c r="CQ101">
        <v>0.02</v>
      </c>
      <c r="CR101">
        <v>0.02</v>
      </c>
      <c r="CS101">
        <v>-2.4245362661989844E-14</v>
      </c>
      <c r="DW101" t="s">
        <v>202</v>
      </c>
      <c r="DX101" s="18">
        <v>37425</v>
      </c>
      <c r="DY101" t="s">
        <v>164</v>
      </c>
      <c r="DZ101">
        <v>0.14000000000000001</v>
      </c>
      <c r="EA101">
        <v>0.14000000000000001</v>
      </c>
      <c r="EB101">
        <v>0.11600000000000001</v>
      </c>
      <c r="EK101" t="s">
        <v>204</v>
      </c>
      <c r="EL101" s="18">
        <v>37420</v>
      </c>
      <c r="EM101" t="s">
        <v>164</v>
      </c>
      <c r="EN101">
        <v>0.13500000000000001</v>
      </c>
      <c r="EO101">
        <v>0.13500000000000001</v>
      </c>
      <c r="EP101">
        <v>0.126</v>
      </c>
      <c r="EY101" t="s">
        <v>205</v>
      </c>
      <c r="EZ101" s="18">
        <v>37361</v>
      </c>
      <c r="FA101" t="s">
        <v>144</v>
      </c>
      <c r="FB101">
        <v>0.57999999999999996</v>
      </c>
      <c r="FC101">
        <v>0.57999999999999996</v>
      </c>
      <c r="FD101">
        <v>0.57499999999999996</v>
      </c>
      <c r="FF101" t="s">
        <v>204</v>
      </c>
      <c r="FG101" s="18">
        <v>37455</v>
      </c>
      <c r="FH101" t="s">
        <v>144</v>
      </c>
      <c r="FI101">
        <v>0.2525</v>
      </c>
      <c r="FJ101">
        <v>0.2525</v>
      </c>
      <c r="FK101">
        <v>0.23899999999999999</v>
      </c>
      <c r="FM101" t="s">
        <v>199</v>
      </c>
      <c r="FN101" s="18">
        <v>37916</v>
      </c>
      <c r="FO101" t="s">
        <v>144</v>
      </c>
      <c r="FP101">
        <v>0.78</v>
      </c>
      <c r="FQ101">
        <v>0.78</v>
      </c>
      <c r="FR101">
        <v>-2.4245362661989844E-14</v>
      </c>
      <c r="FT101" t="s">
        <v>203</v>
      </c>
      <c r="FU101" s="18">
        <v>37406</v>
      </c>
      <c r="FW101">
        <v>0.28999999999999998</v>
      </c>
      <c r="FX101">
        <v>0.28999999999999998</v>
      </c>
      <c r="FY101">
        <v>0.27700000000000002</v>
      </c>
      <c r="GA101" t="s">
        <v>205</v>
      </c>
      <c r="GB101" s="18">
        <v>37369</v>
      </c>
      <c r="GC101" t="s">
        <v>144</v>
      </c>
      <c r="GD101">
        <v>0.3</v>
      </c>
      <c r="GE101">
        <v>0.31</v>
      </c>
      <c r="GF101">
        <v>-2.4245362661989844E-14</v>
      </c>
    </row>
    <row r="102" spans="1:188" x14ac:dyDescent="0.3">
      <c r="A102" t="s">
        <v>205</v>
      </c>
      <c r="B102">
        <v>37272</v>
      </c>
      <c r="C102" s="19">
        <v>0.6875</v>
      </c>
      <c r="D102">
        <v>2E-3</v>
      </c>
      <c r="E102">
        <v>2E-3</v>
      </c>
      <c r="F102">
        <v>2E-3</v>
      </c>
      <c r="H102" t="s">
        <v>206</v>
      </c>
      <c r="I102" s="18">
        <v>37278</v>
      </c>
      <c r="J102" t="s">
        <v>144</v>
      </c>
      <c r="K102">
        <v>4.4999999999999997E-3</v>
      </c>
      <c r="L102">
        <v>4.4999999999999997E-3</v>
      </c>
      <c r="M102">
        <v>-2.4245362661989844E-14</v>
      </c>
      <c r="AC102" t="s">
        <v>204</v>
      </c>
      <c r="AD102" s="18">
        <v>37273</v>
      </c>
      <c r="AE102" t="s">
        <v>164</v>
      </c>
      <c r="AF102">
        <v>0.245</v>
      </c>
      <c r="AG102">
        <v>0.245</v>
      </c>
      <c r="AH102">
        <v>0.22600000000000001</v>
      </c>
      <c r="AQ102" t="s">
        <v>202</v>
      </c>
      <c r="AR102" s="18">
        <v>37301</v>
      </c>
      <c r="AT102">
        <v>3.5999999999999999E-3</v>
      </c>
      <c r="AU102">
        <v>3.7000000000000002E-3</v>
      </c>
      <c r="AV102">
        <v>3.0000000000000001E-3</v>
      </c>
      <c r="BL102" t="s">
        <v>200</v>
      </c>
      <c r="BM102" s="18">
        <v>37860</v>
      </c>
      <c r="BO102">
        <v>-2.4245362661989844E-14</v>
      </c>
      <c r="BP102">
        <v>-2.4245362661989844E-14</v>
      </c>
      <c r="BQ102">
        <v>1.494</v>
      </c>
      <c r="BS102" t="s">
        <v>205</v>
      </c>
      <c r="BT102" s="18">
        <v>37363</v>
      </c>
      <c r="BV102">
        <v>-2.4245362661989844E-14</v>
      </c>
      <c r="BW102">
        <v>-2.4245362661989844E-14</v>
      </c>
      <c r="BX102">
        <v>-2.4245362661989844E-14</v>
      </c>
      <c r="BZ102" t="s">
        <v>206</v>
      </c>
      <c r="CA102" s="18">
        <v>37272</v>
      </c>
      <c r="CB102" t="s">
        <v>164</v>
      </c>
      <c r="CC102">
        <v>-0.05</v>
      </c>
      <c r="CD102">
        <v>-0.05</v>
      </c>
      <c r="CE102">
        <v>-2.4245362661989844E-14</v>
      </c>
      <c r="CG102" t="s">
        <v>205</v>
      </c>
      <c r="CH102" s="18">
        <v>37243</v>
      </c>
      <c r="CI102" t="s">
        <v>164</v>
      </c>
      <c r="CJ102">
        <v>-0.44</v>
      </c>
      <c r="CK102">
        <v>-0.44</v>
      </c>
      <c r="CL102">
        <v>-2.4245362661989844E-14</v>
      </c>
      <c r="CN102" t="s">
        <v>206</v>
      </c>
      <c r="CO102" s="18">
        <v>37287</v>
      </c>
      <c r="CP102" t="s">
        <v>164</v>
      </c>
      <c r="CQ102">
        <v>0.06</v>
      </c>
      <c r="CR102">
        <v>0.06</v>
      </c>
      <c r="CS102">
        <v>-2.4245362661989844E-14</v>
      </c>
      <c r="DW102" t="s">
        <v>203</v>
      </c>
      <c r="DX102" s="18">
        <v>37329</v>
      </c>
      <c r="DY102" t="s">
        <v>164</v>
      </c>
      <c r="DZ102">
        <v>0.09</v>
      </c>
      <c r="EA102">
        <v>0.09</v>
      </c>
      <c r="EB102">
        <v>9.0999999999999998E-2</v>
      </c>
      <c r="EK102" t="s">
        <v>205</v>
      </c>
      <c r="EL102" s="18">
        <v>37329</v>
      </c>
      <c r="EN102">
        <v>0.1</v>
      </c>
      <c r="EO102">
        <v>0.11</v>
      </c>
      <c r="EP102">
        <v>0.10100000000000001</v>
      </c>
      <c r="EY102" t="s">
        <v>206</v>
      </c>
      <c r="EZ102" s="18">
        <v>37280</v>
      </c>
      <c r="FA102" t="s">
        <v>144</v>
      </c>
      <c r="FB102">
        <v>0.6</v>
      </c>
      <c r="FC102">
        <v>0.6</v>
      </c>
      <c r="FD102">
        <v>0.59799999999999998</v>
      </c>
      <c r="FF102" t="s">
        <v>205</v>
      </c>
      <c r="FG102" s="18">
        <v>37364</v>
      </c>
      <c r="FH102" t="s">
        <v>144</v>
      </c>
      <c r="FI102">
        <v>0.23</v>
      </c>
      <c r="FJ102">
        <v>0.23</v>
      </c>
      <c r="FK102">
        <v>0.216</v>
      </c>
      <c r="FM102" t="s">
        <v>200</v>
      </c>
      <c r="FN102" s="18">
        <v>37818</v>
      </c>
      <c r="FO102" t="s">
        <v>144</v>
      </c>
      <c r="FP102">
        <v>0.92</v>
      </c>
      <c r="FQ102">
        <v>0.92</v>
      </c>
      <c r="FR102">
        <v>-2.4245362661989844E-14</v>
      </c>
      <c r="FT102" t="s">
        <v>204</v>
      </c>
      <c r="FU102" s="18">
        <v>37320</v>
      </c>
      <c r="FW102">
        <v>0.41</v>
      </c>
      <c r="FX102">
        <v>0.41</v>
      </c>
      <c r="FY102">
        <v>0.40799999999999997</v>
      </c>
      <c r="GA102" t="s">
        <v>206</v>
      </c>
      <c r="GB102" s="18">
        <v>37279</v>
      </c>
      <c r="GD102">
        <v>0.42</v>
      </c>
      <c r="GE102">
        <v>0.42</v>
      </c>
      <c r="GF102">
        <v>-2.4245362661989844E-14</v>
      </c>
    </row>
    <row r="103" spans="1:188" x14ac:dyDescent="0.3">
      <c r="A103" t="s">
        <v>206</v>
      </c>
      <c r="B103">
        <v>37181</v>
      </c>
      <c r="D103">
        <v>3.2000000000000002E-3</v>
      </c>
      <c r="E103">
        <v>3.2000000000000002E-3</v>
      </c>
      <c r="F103">
        <v>3.0000000000000001E-3</v>
      </c>
      <c r="H103" t="s">
        <v>207</v>
      </c>
      <c r="I103" s="18">
        <v>37187</v>
      </c>
      <c r="J103" t="s">
        <v>164</v>
      </c>
      <c r="K103">
        <v>-2.3E-2</v>
      </c>
      <c r="L103">
        <v>-8.0000000000000002E-3</v>
      </c>
      <c r="M103">
        <v>-2.4245362661989844E-14</v>
      </c>
      <c r="AC103" t="s">
        <v>205</v>
      </c>
      <c r="AD103" s="18">
        <v>37182</v>
      </c>
      <c r="AE103" s="19">
        <v>0.72916666666666663</v>
      </c>
      <c r="AF103">
        <v>0.115</v>
      </c>
      <c r="AG103">
        <v>0.215</v>
      </c>
      <c r="AH103">
        <v>0.19800000000000001</v>
      </c>
      <c r="AQ103" t="s">
        <v>203</v>
      </c>
      <c r="AR103" s="18">
        <v>37203</v>
      </c>
      <c r="AT103">
        <v>2.2000000000000001E-3</v>
      </c>
      <c r="AU103">
        <v>2.3E-3</v>
      </c>
      <c r="AV103">
        <v>2E-3</v>
      </c>
      <c r="BL103" t="s">
        <v>201</v>
      </c>
      <c r="BM103" s="18">
        <v>37740</v>
      </c>
      <c r="BO103">
        <v>-2.4245362661989844E-14</v>
      </c>
      <c r="BP103">
        <v>-2.4245362661989844E-14</v>
      </c>
      <c r="BQ103">
        <v>0.32300000000000001</v>
      </c>
      <c r="BS103" t="s">
        <v>208</v>
      </c>
      <c r="BT103" s="18">
        <v>37049</v>
      </c>
      <c r="BV103">
        <v>-2.4245362661989844E-14</v>
      </c>
      <c r="BW103">
        <v>-2.4245362661989844E-14</v>
      </c>
      <c r="BX103">
        <v>-2.4245362661989844E-14</v>
      </c>
      <c r="BZ103" t="s">
        <v>207</v>
      </c>
      <c r="CA103" s="18">
        <v>37181</v>
      </c>
      <c r="CC103">
        <v>-0.28000000000000003</v>
      </c>
      <c r="CD103">
        <v>-0.54</v>
      </c>
      <c r="CE103">
        <v>-2.4245362661989844E-14</v>
      </c>
      <c r="CG103" t="s">
        <v>206</v>
      </c>
      <c r="CH103" s="18">
        <v>37159</v>
      </c>
      <c r="CI103" t="s">
        <v>164</v>
      </c>
      <c r="CJ103">
        <v>-0.95809999999999995</v>
      </c>
      <c r="CK103">
        <v>-0.28000000000000003</v>
      </c>
      <c r="CL103">
        <v>-2.4245362661989844E-14</v>
      </c>
      <c r="CN103" t="s">
        <v>207</v>
      </c>
      <c r="CO103" s="18">
        <v>37194</v>
      </c>
      <c r="CP103" t="s">
        <v>164</v>
      </c>
      <c r="CQ103">
        <v>3.7</v>
      </c>
      <c r="CR103">
        <v>-0.06</v>
      </c>
      <c r="CS103">
        <v>-2.4245362661989844E-14</v>
      </c>
      <c r="DW103" t="s">
        <v>204</v>
      </c>
      <c r="DX103" s="18">
        <v>37238</v>
      </c>
      <c r="DY103" t="s">
        <v>164</v>
      </c>
      <c r="DZ103">
        <v>0.1</v>
      </c>
      <c r="EA103">
        <v>0.1</v>
      </c>
      <c r="EB103">
        <v>9.9000000000000005E-2</v>
      </c>
      <c r="EK103" t="s">
        <v>206</v>
      </c>
      <c r="EL103" s="18">
        <v>37238</v>
      </c>
      <c r="EM103" t="s">
        <v>164</v>
      </c>
      <c r="EN103">
        <v>0.1</v>
      </c>
      <c r="EO103">
        <v>0.1</v>
      </c>
      <c r="EP103">
        <v>0.105</v>
      </c>
      <c r="EY103" t="s">
        <v>207</v>
      </c>
      <c r="EZ103" s="18">
        <v>37182</v>
      </c>
      <c r="FB103">
        <v>0.66</v>
      </c>
      <c r="FC103">
        <v>0.66</v>
      </c>
      <c r="FD103">
        <v>0.65900000000000003</v>
      </c>
      <c r="FF103" t="s">
        <v>206</v>
      </c>
      <c r="FG103" s="18">
        <v>37280</v>
      </c>
      <c r="FH103" t="s">
        <v>144</v>
      </c>
      <c r="FI103">
        <v>0.19</v>
      </c>
      <c r="FJ103">
        <v>0.19</v>
      </c>
      <c r="FK103">
        <v>0.183</v>
      </c>
      <c r="FM103" t="s">
        <v>201</v>
      </c>
      <c r="FN103" s="18">
        <v>37727</v>
      </c>
      <c r="FO103" t="s">
        <v>144</v>
      </c>
      <c r="FP103">
        <v>0.69</v>
      </c>
      <c r="FQ103">
        <v>0.69</v>
      </c>
      <c r="FR103">
        <v>-2.4245362661989844E-14</v>
      </c>
      <c r="FT103" t="s">
        <v>205</v>
      </c>
      <c r="FU103" s="18">
        <v>37238</v>
      </c>
      <c r="FW103">
        <v>0.28999999999999998</v>
      </c>
      <c r="FX103">
        <v>0.28999999999999998</v>
      </c>
      <c r="FY103">
        <v>0.28499999999999998</v>
      </c>
      <c r="GA103" t="s">
        <v>207</v>
      </c>
      <c r="GB103" s="18">
        <v>37187</v>
      </c>
      <c r="GD103">
        <v>0.46</v>
      </c>
      <c r="GE103">
        <v>0.48</v>
      </c>
      <c r="GF103">
        <v>-2.4245362661989844E-14</v>
      </c>
    </row>
    <row r="104" spans="1:188" x14ac:dyDescent="0.3">
      <c r="A104" t="s">
        <v>207</v>
      </c>
      <c r="B104">
        <v>37089</v>
      </c>
      <c r="C104" s="19">
        <v>0.69097222222222221</v>
      </c>
      <c r="D104">
        <v>3.0000000000000001E-3</v>
      </c>
      <c r="E104">
        <v>3.0000000000000001E-3</v>
      </c>
      <c r="F104">
        <v>3.0000000000000001E-3</v>
      </c>
      <c r="H104" t="s">
        <v>208</v>
      </c>
      <c r="I104" s="18">
        <v>37095</v>
      </c>
      <c r="K104">
        <v>-2.35E-2</v>
      </c>
      <c r="L104">
        <v>-8.0000000000000002E-3</v>
      </c>
      <c r="M104">
        <v>-2.4245362661989844E-14</v>
      </c>
      <c r="AC104" t="s">
        <v>206</v>
      </c>
      <c r="AD104" s="18">
        <v>37091</v>
      </c>
      <c r="AE104" t="s">
        <v>164</v>
      </c>
      <c r="AF104">
        <v>-2.4245362661989844E-14</v>
      </c>
      <c r="AG104">
        <v>0.215</v>
      </c>
      <c r="AH104">
        <v>0.21199999999999999</v>
      </c>
      <c r="AQ104" t="s">
        <v>204</v>
      </c>
      <c r="AR104" s="18">
        <v>37117</v>
      </c>
      <c r="AT104">
        <v>1.6999999999999999E-3</v>
      </c>
      <c r="AU104">
        <v>1.8E-3</v>
      </c>
      <c r="AV104">
        <v>2E-3</v>
      </c>
      <c r="BL104" t="s">
        <v>221</v>
      </c>
      <c r="BM104" s="18">
        <v>37740</v>
      </c>
      <c r="BO104">
        <v>4.3453999999999997</v>
      </c>
      <c r="BP104">
        <v>4.2138999999999998</v>
      </c>
      <c r="BQ104">
        <v>4.5259999999999998</v>
      </c>
      <c r="BS104" t="s">
        <v>209</v>
      </c>
      <c r="BT104" s="18">
        <v>36999</v>
      </c>
      <c r="BV104">
        <v>-2.4245362661989844E-14</v>
      </c>
      <c r="BW104">
        <v>-2.4245362661989844E-14</v>
      </c>
      <c r="BX104">
        <v>-2.4245362661989844E-14</v>
      </c>
      <c r="BZ104" t="s">
        <v>208</v>
      </c>
      <c r="CA104" s="18">
        <v>37084</v>
      </c>
      <c r="CC104">
        <v>0.05</v>
      </c>
      <c r="CD104">
        <v>0.05</v>
      </c>
      <c r="CE104">
        <v>-2.4245362661989844E-14</v>
      </c>
      <c r="CG104" t="s">
        <v>207</v>
      </c>
      <c r="CH104" s="18">
        <v>37063</v>
      </c>
      <c r="CI104" t="s">
        <v>164</v>
      </c>
      <c r="CJ104">
        <v>-0.5</v>
      </c>
      <c r="CK104">
        <v>-0.19</v>
      </c>
      <c r="CL104">
        <v>-2.4245362661989844E-14</v>
      </c>
      <c r="CN104" t="s">
        <v>208</v>
      </c>
      <c r="CO104" s="18">
        <v>37103</v>
      </c>
      <c r="CP104" t="s">
        <v>164</v>
      </c>
      <c r="CQ104">
        <v>2.34</v>
      </c>
      <c r="CR104">
        <v>0.27</v>
      </c>
      <c r="CS104">
        <v>-2.4245362661989844E-14</v>
      </c>
      <c r="DW104" t="s">
        <v>205</v>
      </c>
      <c r="DX104" s="18">
        <v>37147</v>
      </c>
      <c r="DY104" t="s">
        <v>164</v>
      </c>
      <c r="DZ104">
        <v>0.09</v>
      </c>
      <c r="EA104">
        <v>0.09</v>
      </c>
      <c r="EB104">
        <v>7.6999999999999999E-2</v>
      </c>
      <c r="EK104" t="s">
        <v>207</v>
      </c>
      <c r="EL104" s="18">
        <v>37153</v>
      </c>
      <c r="EM104" t="s">
        <v>144</v>
      </c>
      <c r="EN104">
        <v>0.08</v>
      </c>
      <c r="EO104">
        <v>0.14000000000000001</v>
      </c>
      <c r="EP104">
        <v>0.14000000000000001</v>
      </c>
      <c r="EY104" t="s">
        <v>208</v>
      </c>
      <c r="EZ104" s="18">
        <v>37091</v>
      </c>
      <c r="FB104">
        <v>0.76</v>
      </c>
      <c r="FC104">
        <v>0.76</v>
      </c>
      <c r="FD104">
        <v>0.73799999999999999</v>
      </c>
      <c r="FF104" t="s">
        <v>207</v>
      </c>
      <c r="FG104" s="18">
        <v>37190</v>
      </c>
      <c r="FH104" t="s">
        <v>144</v>
      </c>
      <c r="FI104">
        <v>0.17749999999999999</v>
      </c>
      <c r="FJ104">
        <v>0.17749999999999999</v>
      </c>
      <c r="FK104">
        <v>0.17499999999999999</v>
      </c>
      <c r="FM104" t="s">
        <v>202</v>
      </c>
      <c r="FN104" s="18">
        <v>37643</v>
      </c>
      <c r="FO104" t="s">
        <v>144</v>
      </c>
      <c r="FP104">
        <v>0.36</v>
      </c>
      <c r="FQ104">
        <v>0.36</v>
      </c>
      <c r="FR104">
        <v>-2.4245362661989844E-14</v>
      </c>
      <c r="FT104" t="s">
        <v>206</v>
      </c>
      <c r="FU104" s="18">
        <v>37175</v>
      </c>
      <c r="FV104" t="s">
        <v>144</v>
      </c>
      <c r="FW104">
        <v>0.43</v>
      </c>
      <c r="FX104">
        <v>0.43</v>
      </c>
      <c r="FY104">
        <v>0.40200000000000002</v>
      </c>
      <c r="GA104" t="s">
        <v>208</v>
      </c>
      <c r="GB104" s="18">
        <v>37096</v>
      </c>
      <c r="GD104">
        <v>0.63</v>
      </c>
      <c r="GE104">
        <v>0.64</v>
      </c>
      <c r="GF104">
        <v>-2.4245362661989844E-14</v>
      </c>
    </row>
    <row r="105" spans="1:188" x14ac:dyDescent="0.3">
      <c r="A105" t="s">
        <v>208</v>
      </c>
      <c r="B105">
        <v>36999</v>
      </c>
      <c r="C105" s="19">
        <v>0.6875</v>
      </c>
      <c r="D105">
        <v>2.0999999999999999E-3</v>
      </c>
      <c r="E105">
        <v>2E-3</v>
      </c>
      <c r="F105">
        <v>0</v>
      </c>
      <c r="H105" t="s">
        <v>209</v>
      </c>
      <c r="I105" s="18">
        <v>37005</v>
      </c>
      <c r="J105" t="s">
        <v>164</v>
      </c>
      <c r="K105">
        <v>-3.15E-2</v>
      </c>
      <c r="L105">
        <v>-1.0500000000000001E-2</v>
      </c>
      <c r="M105">
        <v>-2.4245362661989844E-14</v>
      </c>
      <c r="AC105" t="s">
        <v>207</v>
      </c>
      <c r="AD105" s="18">
        <v>37000</v>
      </c>
      <c r="AE105" s="19">
        <v>0.72916666666666663</v>
      </c>
      <c r="AF105">
        <v>0.22</v>
      </c>
      <c r="AG105">
        <v>0.22</v>
      </c>
      <c r="AH105">
        <v>0.20799999999999999</v>
      </c>
      <c r="AQ105" t="s">
        <v>205</v>
      </c>
      <c r="AR105" s="18">
        <v>37033</v>
      </c>
      <c r="AS105" t="s">
        <v>164</v>
      </c>
      <c r="AT105">
        <v>1.6999999999999999E-3</v>
      </c>
      <c r="AU105">
        <v>1.6999999999999999E-3</v>
      </c>
      <c r="AV105">
        <v>2E-3</v>
      </c>
      <c r="BL105" t="s">
        <v>203</v>
      </c>
      <c r="BM105" s="18">
        <v>37556</v>
      </c>
      <c r="BO105">
        <v>-2.4245362661989844E-14</v>
      </c>
      <c r="BP105">
        <v>-2.4245362661989844E-14</v>
      </c>
      <c r="BQ105">
        <v>1.4810000000000001</v>
      </c>
      <c r="BZ105" t="s">
        <v>209</v>
      </c>
      <c r="CA105" s="18">
        <v>36999</v>
      </c>
      <c r="CB105" t="s">
        <v>164</v>
      </c>
      <c r="CC105">
        <v>0.37</v>
      </c>
      <c r="CD105">
        <v>0.37</v>
      </c>
      <c r="CE105">
        <v>-2.4245362661989844E-14</v>
      </c>
      <c r="CG105" t="s">
        <v>208</v>
      </c>
      <c r="CH105" s="18">
        <v>36979</v>
      </c>
      <c r="CJ105">
        <v>-0.01</v>
      </c>
      <c r="CK105">
        <v>-0.01</v>
      </c>
      <c r="CL105">
        <v>-2.4245362661989844E-14</v>
      </c>
      <c r="CN105" t="s">
        <v>209</v>
      </c>
      <c r="CO105" s="18">
        <v>37011</v>
      </c>
      <c r="CP105" t="s">
        <v>164</v>
      </c>
      <c r="CQ105">
        <v>-0.28999999999999998</v>
      </c>
      <c r="CR105">
        <v>-0.28999999999999998</v>
      </c>
      <c r="CS105">
        <v>-2.4245362661989844E-14</v>
      </c>
      <c r="DW105" t="s">
        <v>206</v>
      </c>
      <c r="DX105" s="18">
        <v>37060</v>
      </c>
      <c r="DY105" t="s">
        <v>164</v>
      </c>
      <c r="DZ105">
        <v>0.15</v>
      </c>
      <c r="EA105">
        <v>0.15</v>
      </c>
      <c r="EB105">
        <v>0.14099999999999999</v>
      </c>
      <c r="EK105" t="s">
        <v>208</v>
      </c>
      <c r="EL105" s="18">
        <v>37056</v>
      </c>
      <c r="EM105" t="s">
        <v>164</v>
      </c>
      <c r="EN105">
        <v>0.125</v>
      </c>
      <c r="EO105">
        <v>0.17</v>
      </c>
      <c r="EP105">
        <v>0.14299999999999999</v>
      </c>
      <c r="EY105" t="s">
        <v>209</v>
      </c>
      <c r="EZ105" s="18">
        <v>36997</v>
      </c>
      <c r="FB105">
        <v>0.74</v>
      </c>
      <c r="FC105">
        <v>0.74</v>
      </c>
      <c r="FD105">
        <v>0.72699999999999998</v>
      </c>
      <c r="FF105" t="s">
        <v>208</v>
      </c>
      <c r="FG105" s="18">
        <v>37099</v>
      </c>
      <c r="FH105" t="s">
        <v>144</v>
      </c>
      <c r="FI105">
        <v>0.17</v>
      </c>
      <c r="FJ105">
        <v>0.17</v>
      </c>
      <c r="FK105">
        <v>0.16500000000000001</v>
      </c>
      <c r="FM105" t="s">
        <v>203</v>
      </c>
      <c r="FN105" s="18">
        <v>37545</v>
      </c>
      <c r="FO105" t="s">
        <v>144</v>
      </c>
      <c r="FP105">
        <v>0.16</v>
      </c>
      <c r="FQ105">
        <v>0.16</v>
      </c>
      <c r="FR105">
        <v>-2.4245362661989844E-14</v>
      </c>
      <c r="FT105" t="s">
        <v>207</v>
      </c>
      <c r="FU105" s="18">
        <v>37042</v>
      </c>
      <c r="FW105">
        <v>0.23</v>
      </c>
      <c r="FX105">
        <v>0.23</v>
      </c>
      <c r="FY105">
        <v>0.22900000000000001</v>
      </c>
      <c r="GA105" t="s">
        <v>209</v>
      </c>
      <c r="GB105" s="18">
        <v>37004</v>
      </c>
      <c r="GD105">
        <v>0.71</v>
      </c>
      <c r="GE105">
        <v>0.71</v>
      </c>
      <c r="GF105">
        <v>-2.4245362661989844E-14</v>
      </c>
    </row>
    <row r="106" spans="1:188" x14ac:dyDescent="0.3">
      <c r="A106" t="s">
        <v>209</v>
      </c>
      <c r="B106">
        <v>36908</v>
      </c>
      <c r="C106" s="19">
        <v>0.68888888888888888</v>
      </c>
      <c r="D106">
        <v>-1.04E-2</v>
      </c>
      <c r="E106">
        <v>-1.2999999999999999E-2</v>
      </c>
      <c r="F106">
        <v>-1.2E-2</v>
      </c>
      <c r="H106" t="s">
        <v>210</v>
      </c>
      <c r="I106" s="18">
        <v>36921</v>
      </c>
      <c r="J106" t="s">
        <v>164</v>
      </c>
      <c r="K106">
        <v>-1.2500000000000001E-2</v>
      </c>
      <c r="L106">
        <v>-1.2500000000000001E-2</v>
      </c>
      <c r="M106">
        <v>-2.4245362661989844E-14</v>
      </c>
      <c r="AC106" t="s">
        <v>208</v>
      </c>
      <c r="AD106" s="18">
        <v>36909</v>
      </c>
      <c r="AE106" t="s">
        <v>164</v>
      </c>
      <c r="AF106">
        <v>0.23499999999999999</v>
      </c>
      <c r="AG106">
        <v>0.23499999999999999</v>
      </c>
      <c r="AH106">
        <v>0.23200000000000001</v>
      </c>
      <c r="AQ106" t="s">
        <v>206</v>
      </c>
      <c r="AR106" s="18">
        <v>36936</v>
      </c>
      <c r="AS106" t="s">
        <v>164</v>
      </c>
      <c r="AT106">
        <v>1.9E-3</v>
      </c>
      <c r="AU106">
        <v>1.6000000000000001E-3</v>
      </c>
      <c r="AV106">
        <v>2E-3</v>
      </c>
      <c r="BL106" t="s">
        <v>204</v>
      </c>
      <c r="BM106" s="18">
        <v>37496</v>
      </c>
      <c r="BO106">
        <v>-2.4245362661989844E-14</v>
      </c>
      <c r="BP106">
        <v>-2.4245362661989844E-14</v>
      </c>
      <c r="BQ106">
        <v>1.708</v>
      </c>
      <c r="BZ106" t="s">
        <v>210</v>
      </c>
      <c r="CA106" s="18">
        <v>36908</v>
      </c>
      <c r="CC106">
        <v>0.53</v>
      </c>
      <c r="CD106">
        <v>0.53</v>
      </c>
      <c r="CE106">
        <v>-2.4245362661989844E-14</v>
      </c>
      <c r="CG106" t="s">
        <v>209</v>
      </c>
      <c r="CH106" s="18">
        <v>36880</v>
      </c>
      <c r="CI106" t="s">
        <v>164</v>
      </c>
      <c r="CJ106">
        <v>0.59</v>
      </c>
      <c r="CK106">
        <v>0.57999999999999996</v>
      </c>
      <c r="CL106">
        <v>-2.4245362661989844E-14</v>
      </c>
      <c r="CN106" t="s">
        <v>210</v>
      </c>
      <c r="CO106" s="18">
        <v>36928</v>
      </c>
      <c r="CP106" t="s">
        <v>164</v>
      </c>
      <c r="CQ106">
        <v>-0.1</v>
      </c>
      <c r="CR106">
        <v>-0.31</v>
      </c>
      <c r="CS106">
        <v>-2.4245362661989844E-14</v>
      </c>
      <c r="DW106" t="s">
        <v>207</v>
      </c>
      <c r="DX106" s="18">
        <v>36965</v>
      </c>
      <c r="DY106" t="s">
        <v>164</v>
      </c>
      <c r="DZ106">
        <v>0.1</v>
      </c>
      <c r="EA106">
        <v>0.1</v>
      </c>
      <c r="EB106">
        <v>0.10100000000000001</v>
      </c>
      <c r="EK106" t="s">
        <v>209</v>
      </c>
      <c r="EL106" s="18">
        <v>36965</v>
      </c>
      <c r="EM106" t="s">
        <v>164</v>
      </c>
      <c r="EN106">
        <v>0.14000000000000001</v>
      </c>
      <c r="EO106">
        <v>0.16500000000000001</v>
      </c>
      <c r="EP106">
        <v>0.14000000000000001</v>
      </c>
      <c r="EY106" t="s">
        <v>210</v>
      </c>
      <c r="EZ106" s="18">
        <v>36916</v>
      </c>
      <c r="FA106" t="s">
        <v>144</v>
      </c>
      <c r="FB106">
        <v>0.7</v>
      </c>
      <c r="FC106">
        <v>0.7</v>
      </c>
      <c r="FD106">
        <v>0.70199999999999996</v>
      </c>
      <c r="FF106" t="s">
        <v>209</v>
      </c>
      <c r="FG106" s="18">
        <v>37008</v>
      </c>
      <c r="FH106" t="s">
        <v>144</v>
      </c>
      <c r="FI106">
        <v>0.16</v>
      </c>
      <c r="FJ106">
        <v>0.16</v>
      </c>
      <c r="FK106">
        <v>0.153</v>
      </c>
      <c r="FM106" t="s">
        <v>204</v>
      </c>
      <c r="FN106" s="18">
        <v>37454</v>
      </c>
      <c r="FO106" t="s">
        <v>144</v>
      </c>
      <c r="FP106">
        <v>0.57999999999999996</v>
      </c>
      <c r="FQ106">
        <v>0.57999999999999996</v>
      </c>
      <c r="FR106">
        <v>-2.4245362661989844E-14</v>
      </c>
      <c r="FT106" t="s">
        <v>208</v>
      </c>
      <c r="FU106" s="18">
        <v>36958</v>
      </c>
      <c r="FV106" t="s">
        <v>144</v>
      </c>
      <c r="FW106">
        <v>0.38</v>
      </c>
      <c r="FX106">
        <v>0.38</v>
      </c>
      <c r="FY106">
        <v>0.38300000000000001</v>
      </c>
      <c r="GA106" t="s">
        <v>210</v>
      </c>
      <c r="GB106" s="18">
        <v>36915</v>
      </c>
      <c r="GC106" t="s">
        <v>144</v>
      </c>
      <c r="GD106">
        <v>0.67500000000000004</v>
      </c>
      <c r="GE106">
        <v>0.73</v>
      </c>
      <c r="GF106">
        <v>-2.4245362661989844E-14</v>
      </c>
    </row>
    <row r="107" spans="1:188" x14ac:dyDescent="0.3">
      <c r="A107" t="s">
        <v>210</v>
      </c>
      <c r="B107">
        <v>36817</v>
      </c>
      <c r="C107" s="19">
        <v>0.69861111111111107</v>
      </c>
      <c r="D107">
        <v>-2.4245362661989844E-14</v>
      </c>
      <c r="E107">
        <v>5.4000000000000003E-3</v>
      </c>
      <c r="F107">
        <v>6.0000000000000001E-3</v>
      </c>
      <c r="H107" t="s">
        <v>211</v>
      </c>
      <c r="I107" s="18">
        <v>36823</v>
      </c>
      <c r="J107" t="s">
        <v>164</v>
      </c>
      <c r="K107">
        <v>-3.4000000000000002E-2</v>
      </c>
      <c r="L107">
        <v>-1.2500000000000001E-2</v>
      </c>
      <c r="M107">
        <v>-2.4245362661989844E-14</v>
      </c>
      <c r="AC107" t="s">
        <v>209</v>
      </c>
      <c r="AD107" s="18">
        <v>36817</v>
      </c>
      <c r="AF107">
        <v>0.39600000000000002</v>
      </c>
      <c r="AG107">
        <v>0.23</v>
      </c>
      <c r="AH107">
        <v>0.20599999999999999</v>
      </c>
      <c r="AQ107" t="s">
        <v>207</v>
      </c>
      <c r="AR107" s="18">
        <v>36839</v>
      </c>
      <c r="AS107" t="s">
        <v>164</v>
      </c>
      <c r="AT107">
        <v>1.5E-3</v>
      </c>
      <c r="AU107">
        <v>1.5E-3</v>
      </c>
      <c r="AV107">
        <v>1E-3</v>
      </c>
      <c r="BL107" t="s">
        <v>205</v>
      </c>
      <c r="BM107" s="18">
        <v>37372</v>
      </c>
      <c r="BO107">
        <v>-2.4245362661989844E-14</v>
      </c>
      <c r="BP107">
        <v>-2.4245362661989844E-14</v>
      </c>
      <c r="BQ107">
        <v>1.8959999999999999</v>
      </c>
      <c r="BZ107" t="s">
        <v>211</v>
      </c>
      <c r="CA107" s="18">
        <v>36810</v>
      </c>
      <c r="CB107" t="s">
        <v>164</v>
      </c>
      <c r="CC107">
        <v>0.64</v>
      </c>
      <c r="CD107">
        <v>1.18</v>
      </c>
      <c r="CE107">
        <v>-2.4245362661989844E-14</v>
      </c>
      <c r="CG107" t="s">
        <v>210</v>
      </c>
      <c r="CH107" s="18">
        <v>36803</v>
      </c>
      <c r="CI107" t="s">
        <v>164</v>
      </c>
      <c r="CJ107">
        <v>1.21</v>
      </c>
      <c r="CK107">
        <v>1.1599999999999999</v>
      </c>
      <c r="CL107">
        <v>-2.4245362661989844E-14</v>
      </c>
      <c r="CN107" t="s">
        <v>211</v>
      </c>
      <c r="CO107" s="18">
        <v>36825</v>
      </c>
      <c r="CP107" t="s">
        <v>164</v>
      </c>
      <c r="CQ107">
        <v>-2.13</v>
      </c>
      <c r="CR107">
        <v>-0.37</v>
      </c>
      <c r="CS107">
        <v>-2.4245362661989844E-14</v>
      </c>
      <c r="DW107" t="s">
        <v>208</v>
      </c>
      <c r="DX107" s="18">
        <v>36874</v>
      </c>
      <c r="DY107" t="s">
        <v>164</v>
      </c>
      <c r="DZ107">
        <v>0.11</v>
      </c>
      <c r="EA107">
        <v>0.11</v>
      </c>
      <c r="EB107">
        <v>9.8000000000000004E-2</v>
      </c>
      <c r="EK107" t="s">
        <v>210</v>
      </c>
      <c r="EL107" s="18">
        <v>36874</v>
      </c>
      <c r="EM107" t="s">
        <v>164</v>
      </c>
      <c r="EN107">
        <v>0.155</v>
      </c>
      <c r="EO107">
        <v>0.17</v>
      </c>
      <c r="EP107">
        <v>0.14399999999999999</v>
      </c>
      <c r="EY107" t="s">
        <v>211</v>
      </c>
      <c r="EZ107" s="18">
        <v>36818</v>
      </c>
      <c r="FB107">
        <v>0.71</v>
      </c>
      <c r="FC107">
        <v>0.71</v>
      </c>
      <c r="FD107">
        <v>0.70399999999999996</v>
      </c>
      <c r="FF107" t="s">
        <v>210</v>
      </c>
      <c r="FG107" s="18">
        <v>36924</v>
      </c>
      <c r="FH107" t="s">
        <v>144</v>
      </c>
      <c r="FI107">
        <v>0.14499999999999999</v>
      </c>
      <c r="FJ107">
        <v>0.14499999999999999</v>
      </c>
      <c r="FK107">
        <v>0.13800000000000001</v>
      </c>
      <c r="FM107" t="s">
        <v>205</v>
      </c>
      <c r="FN107" s="18">
        <v>37363</v>
      </c>
      <c r="FO107" t="s">
        <v>144</v>
      </c>
      <c r="FP107">
        <v>0.56999999999999995</v>
      </c>
      <c r="FQ107">
        <v>0.56999999999999995</v>
      </c>
      <c r="FR107">
        <v>-2.4245362661989844E-14</v>
      </c>
      <c r="FT107" t="s">
        <v>209</v>
      </c>
      <c r="FU107" s="18">
        <v>36874</v>
      </c>
      <c r="FW107">
        <v>0.28000000000000003</v>
      </c>
      <c r="FX107">
        <v>0.28000000000000003</v>
      </c>
      <c r="FY107">
        <v>0.28399999999999997</v>
      </c>
      <c r="GA107" t="s">
        <v>211</v>
      </c>
      <c r="GB107" s="18">
        <v>36823</v>
      </c>
      <c r="GC107" t="s">
        <v>144</v>
      </c>
      <c r="GD107">
        <v>0.62280000000000002</v>
      </c>
      <c r="GE107">
        <v>0.6</v>
      </c>
      <c r="GF107">
        <v>-2.4245362661989844E-14</v>
      </c>
    </row>
    <row r="108" spans="1:188" x14ac:dyDescent="0.3">
      <c r="A108" t="s">
        <v>211</v>
      </c>
      <c r="B108">
        <v>36725</v>
      </c>
      <c r="C108" t="s">
        <v>164</v>
      </c>
      <c r="D108">
        <v>9.7999999999999997E-3</v>
      </c>
      <c r="E108">
        <v>8.0000000000000002E-3</v>
      </c>
      <c r="F108">
        <v>8.0000000000000002E-3</v>
      </c>
      <c r="H108" t="s">
        <v>212</v>
      </c>
      <c r="I108" s="18">
        <v>36733</v>
      </c>
      <c r="J108" t="s">
        <v>164</v>
      </c>
      <c r="K108">
        <v>-4.5499999999999999E-2</v>
      </c>
      <c r="L108">
        <v>-1.6500000000000001E-2</v>
      </c>
      <c r="M108">
        <v>-2.4245362661989844E-14</v>
      </c>
      <c r="AC108" t="s">
        <v>210</v>
      </c>
      <c r="AD108" s="18">
        <v>36725</v>
      </c>
      <c r="AE108" t="s">
        <v>164</v>
      </c>
      <c r="AF108">
        <v>0.22</v>
      </c>
      <c r="AG108">
        <v>0.22</v>
      </c>
      <c r="AH108">
        <v>0.20699999999999999</v>
      </c>
      <c r="AQ108" t="s">
        <v>208</v>
      </c>
      <c r="AR108" s="18">
        <v>36759</v>
      </c>
      <c r="AT108">
        <v>1.1999999999999999E-3</v>
      </c>
      <c r="AU108">
        <v>1.2999999999999999E-3</v>
      </c>
      <c r="AV108">
        <v>1E-3</v>
      </c>
      <c r="BL108" t="s">
        <v>272</v>
      </c>
      <c r="BM108" s="18">
        <v>37372</v>
      </c>
      <c r="BO108">
        <v>-2.4245362661989844E-14</v>
      </c>
      <c r="BP108">
        <v>2.7890999999999999</v>
      </c>
      <c r="BQ108">
        <v>2.7090000000000001</v>
      </c>
      <c r="BZ108" t="s">
        <v>212</v>
      </c>
      <c r="CA108" s="18">
        <v>36726</v>
      </c>
      <c r="CB108" t="s">
        <v>164</v>
      </c>
      <c r="CC108">
        <v>0.6</v>
      </c>
      <c r="CD108">
        <v>0.60499999999999998</v>
      </c>
      <c r="CE108">
        <v>-2.4245362661989844E-14</v>
      </c>
      <c r="CG108" t="s">
        <v>211</v>
      </c>
      <c r="CH108" s="18">
        <v>36699</v>
      </c>
      <c r="CI108" t="s">
        <v>164</v>
      </c>
      <c r="CJ108">
        <v>0.5</v>
      </c>
      <c r="CK108">
        <v>0.47</v>
      </c>
      <c r="CL108">
        <v>-2.4245362661989844E-14</v>
      </c>
      <c r="CN108" t="s">
        <v>212</v>
      </c>
      <c r="CO108" s="18">
        <v>36733</v>
      </c>
      <c r="CP108" t="s">
        <v>164</v>
      </c>
      <c r="CQ108">
        <v>-0.9</v>
      </c>
      <c r="CR108">
        <v>-0.54</v>
      </c>
      <c r="CS108">
        <v>-2.4245362661989844E-14</v>
      </c>
      <c r="DW108" t="s">
        <v>209</v>
      </c>
      <c r="DX108" s="18">
        <v>36783</v>
      </c>
      <c r="DY108" t="s">
        <v>164</v>
      </c>
      <c r="DZ108">
        <v>0.08</v>
      </c>
      <c r="EA108">
        <v>0.08</v>
      </c>
      <c r="EB108">
        <v>6.3E-2</v>
      </c>
      <c r="EK108" t="s">
        <v>211</v>
      </c>
      <c r="EL108" s="18">
        <v>36783</v>
      </c>
      <c r="EM108" t="s">
        <v>164</v>
      </c>
      <c r="EN108">
        <v>0.1525</v>
      </c>
      <c r="EO108">
        <v>0.14249999999999999</v>
      </c>
      <c r="EP108">
        <v>0.13</v>
      </c>
      <c r="EY108" t="s">
        <v>212</v>
      </c>
      <c r="EZ108" s="18">
        <v>36727</v>
      </c>
      <c r="FB108">
        <v>0.61</v>
      </c>
      <c r="FC108">
        <v>0.61</v>
      </c>
      <c r="FD108">
        <v>0.60099999999999998</v>
      </c>
      <c r="FF108" t="s">
        <v>211</v>
      </c>
      <c r="FG108" s="18">
        <v>36826</v>
      </c>
      <c r="FH108" t="s">
        <v>144</v>
      </c>
      <c r="FI108">
        <v>0.13500000000000001</v>
      </c>
      <c r="FJ108">
        <v>0.13500000000000001</v>
      </c>
      <c r="FK108">
        <v>0.13100000000000001</v>
      </c>
      <c r="FM108" t="s">
        <v>206</v>
      </c>
      <c r="FN108" s="18">
        <v>37272</v>
      </c>
      <c r="FO108" t="s">
        <v>144</v>
      </c>
      <c r="FP108">
        <v>0.12</v>
      </c>
      <c r="FQ108">
        <v>0.12</v>
      </c>
      <c r="FR108">
        <v>-2.4245362661989844E-14</v>
      </c>
      <c r="FT108" t="s">
        <v>210</v>
      </c>
      <c r="FU108" s="18">
        <v>36811</v>
      </c>
      <c r="FV108" t="s">
        <v>144</v>
      </c>
      <c r="FW108">
        <v>0.43</v>
      </c>
      <c r="FX108">
        <v>0.43</v>
      </c>
      <c r="FY108">
        <v>0.43099999999999999</v>
      </c>
      <c r="GA108" t="s">
        <v>212</v>
      </c>
      <c r="GB108" s="18">
        <v>36732</v>
      </c>
      <c r="GC108" t="s">
        <v>144</v>
      </c>
      <c r="GD108">
        <v>0.56999999999999995</v>
      </c>
      <c r="GE108">
        <v>0.6</v>
      </c>
      <c r="GF108">
        <v>-2.4245362661989844E-14</v>
      </c>
    </row>
    <row r="109" spans="1:188" x14ac:dyDescent="0.3">
      <c r="A109" t="s">
        <v>212</v>
      </c>
      <c r="B109">
        <v>36635</v>
      </c>
      <c r="C109" t="s">
        <v>164</v>
      </c>
      <c r="D109">
        <v>7.9000000000000008E-3</v>
      </c>
      <c r="E109">
        <v>7.9000000000000008E-3</v>
      </c>
      <c r="F109">
        <v>7.0000000000000001E-3</v>
      </c>
      <c r="H109" t="s">
        <v>222</v>
      </c>
      <c r="I109" s="18">
        <v>36642</v>
      </c>
      <c r="K109">
        <v>-4.4999999999999998E-2</v>
      </c>
      <c r="L109">
        <v>-2.4245362661989844E-14</v>
      </c>
      <c r="M109">
        <v>-2.4245362661989844E-14</v>
      </c>
      <c r="AC109" t="s">
        <v>211</v>
      </c>
      <c r="AD109" s="18">
        <v>36636</v>
      </c>
      <c r="AE109" t="s">
        <v>164</v>
      </c>
      <c r="AF109">
        <v>0.215</v>
      </c>
      <c r="AG109">
        <v>0.215</v>
      </c>
      <c r="AH109">
        <v>0.20399999999999999</v>
      </c>
      <c r="AQ109" t="s">
        <v>209</v>
      </c>
      <c r="AR109" s="18">
        <v>36662</v>
      </c>
      <c r="AT109">
        <v>1E-3</v>
      </c>
      <c r="AU109">
        <v>8.0000000000000004E-4</v>
      </c>
      <c r="AV109">
        <v>1E-3</v>
      </c>
      <c r="BL109" t="s">
        <v>207</v>
      </c>
      <c r="BM109" s="18">
        <v>37193</v>
      </c>
      <c r="BO109">
        <v>-2.4245362661989844E-14</v>
      </c>
      <c r="BP109">
        <v>-2.4245362661989844E-14</v>
      </c>
      <c r="BQ109">
        <v>0.27900000000000003</v>
      </c>
      <c r="BZ109" t="s">
        <v>222</v>
      </c>
      <c r="CA109" s="18">
        <v>36628</v>
      </c>
      <c r="CB109" t="s">
        <v>164</v>
      </c>
      <c r="CC109">
        <v>0.56999999999999995</v>
      </c>
      <c r="CD109">
        <v>0.57499999999999996</v>
      </c>
      <c r="CE109">
        <v>-2.4245362661989844E-14</v>
      </c>
      <c r="CG109" t="s">
        <v>212</v>
      </c>
      <c r="CH109" s="18">
        <v>36606</v>
      </c>
      <c r="CJ109">
        <v>0.15</v>
      </c>
      <c r="CK109">
        <v>0.28999999999999998</v>
      </c>
      <c r="CL109">
        <v>-2.4245362661989844E-14</v>
      </c>
      <c r="CN109" t="s">
        <v>222</v>
      </c>
      <c r="CO109" s="18">
        <v>36642</v>
      </c>
      <c r="CQ109">
        <v>-0.42</v>
      </c>
      <c r="CR109">
        <v>-0.42</v>
      </c>
      <c r="CS109">
        <v>-2.4245362661989844E-14</v>
      </c>
      <c r="DW109" t="s">
        <v>210</v>
      </c>
      <c r="DX109" s="18">
        <v>36697</v>
      </c>
      <c r="DY109" t="s">
        <v>164</v>
      </c>
      <c r="DZ109">
        <v>0.81499999999999995</v>
      </c>
      <c r="EA109">
        <v>0.155</v>
      </c>
      <c r="EB109">
        <v>0.13200000000000001</v>
      </c>
      <c r="EK109" t="s">
        <v>212</v>
      </c>
      <c r="EL109" s="18">
        <v>36692</v>
      </c>
      <c r="EM109" t="s">
        <v>164</v>
      </c>
      <c r="EN109">
        <v>0.13</v>
      </c>
      <c r="EO109">
        <v>0.125</v>
      </c>
      <c r="EP109">
        <v>0.11899999999999999</v>
      </c>
      <c r="EY109" t="s">
        <v>222</v>
      </c>
      <c r="EZ109" s="18">
        <v>36633</v>
      </c>
      <c r="FB109">
        <v>0.63</v>
      </c>
      <c r="FC109">
        <v>0.63</v>
      </c>
      <c r="FD109">
        <v>0.61</v>
      </c>
      <c r="FF109" t="s">
        <v>212</v>
      </c>
      <c r="FG109" s="18">
        <v>36741</v>
      </c>
      <c r="FH109" t="s">
        <v>144</v>
      </c>
      <c r="FI109">
        <v>0.1263</v>
      </c>
      <c r="FJ109">
        <v>0.1263</v>
      </c>
      <c r="FK109">
        <v>0.122</v>
      </c>
      <c r="FM109" t="s">
        <v>207</v>
      </c>
      <c r="FN109" s="18">
        <v>37181</v>
      </c>
      <c r="FP109">
        <v>0.51</v>
      </c>
      <c r="FQ109">
        <v>0.51</v>
      </c>
      <c r="FR109">
        <v>-2.4245362661989844E-14</v>
      </c>
      <c r="FT109" t="s">
        <v>211</v>
      </c>
      <c r="FU109" s="18">
        <v>36670</v>
      </c>
      <c r="FV109" t="s">
        <v>144</v>
      </c>
      <c r="FW109">
        <v>0.26</v>
      </c>
      <c r="FX109">
        <v>0.26</v>
      </c>
      <c r="FY109">
        <v>0.26700000000000002</v>
      </c>
      <c r="GA109" t="s">
        <v>222</v>
      </c>
      <c r="GB109" s="18">
        <v>36641</v>
      </c>
      <c r="GD109">
        <v>0.47499999999999998</v>
      </c>
      <c r="GE109">
        <v>0.47499999999999998</v>
      </c>
      <c r="GF109">
        <v>-2.4245362661989844E-14</v>
      </c>
    </row>
    <row r="110" spans="1:188" x14ac:dyDescent="0.3">
      <c r="A110" t="s">
        <v>222</v>
      </c>
      <c r="B110">
        <v>36544</v>
      </c>
      <c r="C110" t="s">
        <v>164</v>
      </c>
      <c r="D110">
        <v>9.1999999999999998E-3</v>
      </c>
      <c r="E110">
        <v>-2.4245362661989844E-14</v>
      </c>
      <c r="F110">
        <v>8.0000000000000002E-3</v>
      </c>
      <c r="H110" t="s">
        <v>223</v>
      </c>
      <c r="I110" s="18">
        <v>36558</v>
      </c>
      <c r="J110" t="s">
        <v>164</v>
      </c>
      <c r="K110">
        <v>-2.75E-2</v>
      </c>
      <c r="L110">
        <v>-2.75E-2</v>
      </c>
      <c r="M110">
        <v>-2.4245362661989844E-14</v>
      </c>
      <c r="AC110" t="s">
        <v>212</v>
      </c>
      <c r="AD110" s="18">
        <v>36543</v>
      </c>
      <c r="AE110" t="s">
        <v>164</v>
      </c>
      <c r="AF110">
        <v>0.23499999999999999</v>
      </c>
      <c r="AG110">
        <v>0.23499999999999999</v>
      </c>
      <c r="AH110">
        <v>0.21299999999999999</v>
      </c>
      <c r="AQ110" t="s">
        <v>210</v>
      </c>
      <c r="AR110" s="18">
        <v>36571</v>
      </c>
      <c r="AS110" t="s">
        <v>164</v>
      </c>
      <c r="AT110">
        <v>8.0000000000000004E-4</v>
      </c>
      <c r="AU110">
        <v>8.0000000000000004E-4</v>
      </c>
      <c r="AV110">
        <v>1E-3</v>
      </c>
      <c r="BL110" t="s">
        <v>208</v>
      </c>
      <c r="BM110" s="18">
        <v>37124</v>
      </c>
      <c r="BO110">
        <v>-2.4245362661989844E-14</v>
      </c>
      <c r="BP110">
        <v>-2.4245362661989844E-14</v>
      </c>
      <c r="BQ110">
        <v>-1.2999999999999999E-2</v>
      </c>
      <c r="BZ110" t="s">
        <v>223</v>
      </c>
      <c r="CA110" s="18">
        <v>36544</v>
      </c>
      <c r="CB110" t="s">
        <v>164</v>
      </c>
      <c r="CC110">
        <v>0.23</v>
      </c>
      <c r="CD110">
        <v>0.23</v>
      </c>
      <c r="CE110">
        <v>-2.4245362661989844E-14</v>
      </c>
      <c r="CG110" t="s">
        <v>222</v>
      </c>
      <c r="CH110" s="18">
        <v>36516</v>
      </c>
      <c r="CJ110">
        <v>0.59499999999999997</v>
      </c>
      <c r="CK110">
        <v>0.62</v>
      </c>
      <c r="CL110">
        <v>-2.4245362661989844E-14</v>
      </c>
      <c r="CN110" t="s">
        <v>223</v>
      </c>
      <c r="CO110" s="18">
        <v>36552</v>
      </c>
      <c r="CQ110">
        <v>-0.2</v>
      </c>
      <c r="CR110">
        <v>6.5000000000000002E-2</v>
      </c>
      <c r="CS110">
        <v>-2.4245362661989844E-14</v>
      </c>
      <c r="DW110" t="s">
        <v>211</v>
      </c>
      <c r="DX110" s="18">
        <v>36599</v>
      </c>
      <c r="DY110" t="s">
        <v>164</v>
      </c>
      <c r="DZ110">
        <v>8.5000000000000006E-2</v>
      </c>
      <c r="EA110">
        <v>8.5000000000000006E-2</v>
      </c>
      <c r="EB110">
        <v>6.6000000000000003E-2</v>
      </c>
      <c r="EK110" t="s">
        <v>222</v>
      </c>
      <c r="EL110" s="18">
        <v>36601</v>
      </c>
      <c r="EM110" t="s">
        <v>164</v>
      </c>
      <c r="EN110">
        <v>0.1275</v>
      </c>
      <c r="EO110">
        <v>0.11749999999999999</v>
      </c>
      <c r="EP110">
        <v>0.109</v>
      </c>
      <c r="EY110" t="s">
        <v>223</v>
      </c>
      <c r="EZ110" s="18">
        <v>36552</v>
      </c>
      <c r="FB110">
        <v>0.63</v>
      </c>
      <c r="FC110">
        <v>-2.4245362661989844E-14</v>
      </c>
      <c r="FD110">
        <v>0.61</v>
      </c>
      <c r="FF110" t="s">
        <v>222</v>
      </c>
      <c r="FG110" s="18">
        <v>36650</v>
      </c>
      <c r="FH110" t="s">
        <v>144</v>
      </c>
      <c r="FI110">
        <v>0.1288</v>
      </c>
      <c r="FJ110">
        <v>0.1188</v>
      </c>
      <c r="FK110">
        <v>0.113</v>
      </c>
      <c r="FM110" t="s">
        <v>208</v>
      </c>
      <c r="FN110" s="18">
        <v>37090</v>
      </c>
      <c r="FO110" t="s">
        <v>144</v>
      </c>
      <c r="FP110">
        <v>0.33</v>
      </c>
      <c r="FQ110">
        <v>0.33</v>
      </c>
      <c r="FR110">
        <v>-2.4245362661989844E-14</v>
      </c>
      <c r="FT110" t="s">
        <v>212</v>
      </c>
      <c r="FU110" s="18">
        <v>36587</v>
      </c>
      <c r="FV110" t="s">
        <v>144</v>
      </c>
      <c r="FW110">
        <v>0.39</v>
      </c>
      <c r="FX110">
        <v>0.39</v>
      </c>
      <c r="FY110">
        <v>0.38600000000000001</v>
      </c>
      <c r="GA110" t="s">
        <v>223</v>
      </c>
      <c r="GB110" s="18">
        <v>36550</v>
      </c>
      <c r="GD110">
        <v>0.64500000000000002</v>
      </c>
      <c r="GE110">
        <v>0.38500000000000001</v>
      </c>
      <c r="GF110">
        <v>-2.4245362661989844E-14</v>
      </c>
    </row>
    <row r="111" spans="1:188" x14ac:dyDescent="0.3">
      <c r="A111" t="s">
        <v>223</v>
      </c>
      <c r="B111">
        <v>36446</v>
      </c>
      <c r="C111" s="19">
        <v>0.70208333333333328</v>
      </c>
      <c r="D111">
        <v>4.5999999999999999E-3</v>
      </c>
      <c r="E111">
        <v>4.5999999999999999E-3</v>
      </c>
      <c r="F111">
        <v>4.0000000000000001E-3</v>
      </c>
      <c r="H111" t="s">
        <v>224</v>
      </c>
      <c r="I111" s="18">
        <v>36460</v>
      </c>
      <c r="J111" t="s">
        <v>164</v>
      </c>
      <c r="K111">
        <v>-2.9499999999999998E-2</v>
      </c>
      <c r="L111">
        <v>-1.2999999999999999E-2</v>
      </c>
      <c r="M111">
        <v>-2.4245362661989844E-14</v>
      </c>
      <c r="AC111" t="s">
        <v>222</v>
      </c>
      <c r="AD111" s="18">
        <v>36452</v>
      </c>
      <c r="AE111" t="s">
        <v>164</v>
      </c>
      <c r="AF111">
        <v>0.19070000000000001</v>
      </c>
      <c r="AG111">
        <v>0.19</v>
      </c>
      <c r="AH111">
        <v>0.17199999999999999</v>
      </c>
      <c r="AQ111" t="s">
        <v>211</v>
      </c>
      <c r="AR111" s="18">
        <v>36482</v>
      </c>
      <c r="AT111">
        <v>5.9999999999999995E-4</v>
      </c>
      <c r="AU111">
        <v>5.9999999999999995E-4</v>
      </c>
      <c r="AV111">
        <v>1E-3</v>
      </c>
      <c r="BL111" t="s">
        <v>209</v>
      </c>
      <c r="BM111" s="18">
        <v>37007</v>
      </c>
      <c r="BO111">
        <v>-2.4245362661989844E-14</v>
      </c>
      <c r="BP111">
        <v>-2.4245362661989844E-14</v>
      </c>
      <c r="BQ111">
        <v>2.3359999999999999</v>
      </c>
      <c r="BZ111" t="s">
        <v>224</v>
      </c>
      <c r="CA111" s="18">
        <v>36439</v>
      </c>
      <c r="CB111" t="s">
        <v>164</v>
      </c>
      <c r="CC111">
        <v>-0.36</v>
      </c>
      <c r="CD111">
        <v>-0.36</v>
      </c>
      <c r="CE111">
        <v>-2.4245362661989844E-14</v>
      </c>
      <c r="CG111" t="s">
        <v>223</v>
      </c>
      <c r="CH111" s="18">
        <v>36437</v>
      </c>
      <c r="CJ111">
        <v>-3.5000000000000003E-2</v>
      </c>
      <c r="CK111">
        <v>-3.5000000000000003E-2</v>
      </c>
      <c r="CL111">
        <v>-2.4245362661989844E-14</v>
      </c>
      <c r="CN111" t="s">
        <v>224</v>
      </c>
      <c r="CO111" s="18">
        <v>36451</v>
      </c>
      <c r="CP111" t="s">
        <v>164</v>
      </c>
      <c r="CQ111">
        <v>-8.5000000000000006E-2</v>
      </c>
      <c r="CR111">
        <v>4.4999999999999998E-2</v>
      </c>
      <c r="CS111">
        <v>-2.4245362661989844E-14</v>
      </c>
      <c r="DW111" t="s">
        <v>212</v>
      </c>
      <c r="DX111" s="18">
        <v>36508</v>
      </c>
      <c r="DY111" t="s">
        <v>164</v>
      </c>
      <c r="DZ111">
        <v>0.06</v>
      </c>
      <c r="EA111">
        <v>0.06</v>
      </c>
      <c r="EB111">
        <v>5.0999999999999997E-2</v>
      </c>
      <c r="EK111" t="s">
        <v>223</v>
      </c>
      <c r="EL111" s="18">
        <v>36510</v>
      </c>
      <c r="EN111">
        <v>0.19</v>
      </c>
      <c r="EO111">
        <v>0.115</v>
      </c>
      <c r="EP111">
        <v>0.10299999999999999</v>
      </c>
      <c r="EY111" t="s">
        <v>224</v>
      </c>
      <c r="EZ111" s="18">
        <v>36453</v>
      </c>
      <c r="FB111">
        <v>0.62</v>
      </c>
      <c r="FC111">
        <v>0.62</v>
      </c>
      <c r="FD111">
        <v>0.61799999999999999</v>
      </c>
      <c r="FF111" t="s">
        <v>223</v>
      </c>
      <c r="FG111" s="18">
        <v>36566</v>
      </c>
      <c r="FH111" t="s">
        <v>144</v>
      </c>
      <c r="FI111">
        <v>0.11</v>
      </c>
      <c r="FJ111">
        <v>0.11</v>
      </c>
      <c r="FK111">
        <v>0.104</v>
      </c>
      <c r="FM111" t="s">
        <v>209</v>
      </c>
      <c r="FN111" s="18">
        <v>36999</v>
      </c>
      <c r="FP111">
        <v>0.7</v>
      </c>
      <c r="FQ111">
        <v>0.7</v>
      </c>
      <c r="FR111">
        <v>-2.4245362661989844E-14</v>
      </c>
      <c r="FT111" t="s">
        <v>222</v>
      </c>
      <c r="FU111" s="18">
        <v>36503</v>
      </c>
      <c r="FV111" t="s">
        <v>144</v>
      </c>
      <c r="FW111">
        <v>0.28000000000000003</v>
      </c>
      <c r="FX111">
        <v>0.28000000000000003</v>
      </c>
      <c r="FY111">
        <v>0.27300000000000002</v>
      </c>
      <c r="GA111" t="s">
        <v>224</v>
      </c>
      <c r="GB111" s="18">
        <v>36458</v>
      </c>
      <c r="GD111">
        <v>0.31</v>
      </c>
      <c r="GE111">
        <v>0.30499999999999999</v>
      </c>
      <c r="GF111">
        <v>-2.4245362661989844E-14</v>
      </c>
    </row>
    <row r="112" spans="1:188" x14ac:dyDescent="0.3">
      <c r="A112" t="s">
        <v>224</v>
      </c>
      <c r="B112">
        <v>36355</v>
      </c>
      <c r="C112" t="s">
        <v>164</v>
      </c>
      <c r="D112">
        <v>1.0699999999999999E-2</v>
      </c>
      <c r="E112">
        <v>6.1999999999999998E-3</v>
      </c>
      <c r="F112">
        <v>6.0000000000000001E-3</v>
      </c>
      <c r="H112" t="s">
        <v>225</v>
      </c>
      <c r="I112" s="18">
        <v>36362</v>
      </c>
      <c r="J112" t="s">
        <v>164</v>
      </c>
      <c r="K112">
        <v>-1.6400000000000001E-2</v>
      </c>
      <c r="L112">
        <v>-1.2800000000000001E-2</v>
      </c>
      <c r="M112">
        <v>-2.4245362661989844E-14</v>
      </c>
      <c r="AC112" t="s">
        <v>223</v>
      </c>
      <c r="AD112" s="18">
        <v>36360</v>
      </c>
      <c r="AE112" t="s">
        <v>164</v>
      </c>
      <c r="AF112">
        <v>0.2</v>
      </c>
      <c r="AG112">
        <v>0.2</v>
      </c>
      <c r="AH112">
        <v>0.17699999999999999</v>
      </c>
      <c r="AQ112" t="s">
        <v>212</v>
      </c>
      <c r="AR112" s="18">
        <v>36390</v>
      </c>
      <c r="AT112">
        <v>4.0000000000000002E-4</v>
      </c>
      <c r="AU112">
        <v>4.0000000000000002E-4</v>
      </c>
      <c r="AV112">
        <v>0</v>
      </c>
      <c r="BL112" t="s">
        <v>273</v>
      </c>
      <c r="BM112" s="18">
        <v>37004</v>
      </c>
      <c r="BO112">
        <v>-2.4245362661989844E-14</v>
      </c>
      <c r="BP112">
        <v>13.705299999999999</v>
      </c>
      <c r="BQ112">
        <v>13.744</v>
      </c>
      <c r="BZ112" t="s">
        <v>225</v>
      </c>
      <c r="CA112" s="18">
        <v>36355</v>
      </c>
      <c r="CB112" t="s">
        <v>164</v>
      </c>
      <c r="CC112">
        <v>-0.55000000000000004</v>
      </c>
      <c r="CD112">
        <v>0.26500000000000001</v>
      </c>
      <c r="CE112">
        <v>-2.4245362661989844E-14</v>
      </c>
      <c r="CG112" t="s">
        <v>224</v>
      </c>
      <c r="CH112" s="18">
        <v>36334</v>
      </c>
      <c r="CI112" t="s">
        <v>164</v>
      </c>
      <c r="CJ112">
        <v>-0.05</v>
      </c>
      <c r="CK112">
        <v>-3.5000000000000003E-2</v>
      </c>
      <c r="CL112">
        <v>-2.4245362661989844E-14</v>
      </c>
      <c r="CN112" t="s">
        <v>225</v>
      </c>
      <c r="CO112" s="18">
        <v>36362</v>
      </c>
      <c r="CQ112">
        <v>0.04</v>
      </c>
      <c r="CR112">
        <v>0.04</v>
      </c>
      <c r="CS112">
        <v>-2.4245362661989844E-14</v>
      </c>
      <c r="DW112" t="s">
        <v>222</v>
      </c>
      <c r="DX112" s="18">
        <v>36417</v>
      </c>
      <c r="DY112" t="s">
        <v>164</v>
      </c>
      <c r="DZ112">
        <v>0.04</v>
      </c>
      <c r="EA112">
        <v>0.04</v>
      </c>
      <c r="EB112">
        <v>4.2000000000000003E-2</v>
      </c>
      <c r="EK112" t="s">
        <v>224</v>
      </c>
      <c r="EL112" s="18">
        <v>36419</v>
      </c>
      <c r="EM112" t="s">
        <v>164</v>
      </c>
      <c r="EN112">
        <v>0.1</v>
      </c>
      <c r="EO112">
        <v>0.1</v>
      </c>
      <c r="EP112">
        <v>9.2999999999999999E-2</v>
      </c>
      <c r="EY112" t="s">
        <v>225</v>
      </c>
      <c r="EZ112" s="18">
        <v>36362</v>
      </c>
      <c r="FB112">
        <v>0.52</v>
      </c>
      <c r="FC112">
        <v>0.52</v>
      </c>
      <c r="FD112">
        <v>0.51300000000000001</v>
      </c>
      <c r="FF112" t="s">
        <v>224</v>
      </c>
      <c r="FG112" s="18">
        <v>36467</v>
      </c>
      <c r="FI112">
        <v>0.1013</v>
      </c>
      <c r="FJ112">
        <v>0.1013</v>
      </c>
      <c r="FK112">
        <v>9.8000000000000004E-2</v>
      </c>
      <c r="FM112" t="s">
        <v>210</v>
      </c>
      <c r="FN112" s="18">
        <v>36908</v>
      </c>
      <c r="FP112">
        <v>0.37</v>
      </c>
      <c r="FQ112">
        <v>0.37</v>
      </c>
      <c r="FR112">
        <v>-2.4245362661989844E-14</v>
      </c>
      <c r="FT112" t="s">
        <v>223</v>
      </c>
      <c r="FU112" s="18">
        <v>36440</v>
      </c>
      <c r="FV112" t="s">
        <v>144</v>
      </c>
      <c r="FW112">
        <v>0.42959999999999998</v>
      </c>
      <c r="FX112">
        <v>0.39500000000000002</v>
      </c>
      <c r="FY112">
        <v>0.38200000000000001</v>
      </c>
      <c r="GA112" t="s">
        <v>225</v>
      </c>
      <c r="GB112" s="18">
        <v>36362</v>
      </c>
      <c r="GD112">
        <v>0.28499999999999998</v>
      </c>
      <c r="GE112">
        <v>0.245</v>
      </c>
      <c r="GF112">
        <v>-2.4245362661989844E-14</v>
      </c>
    </row>
    <row r="113" spans="1:188" x14ac:dyDescent="0.3">
      <c r="A113" t="s">
        <v>226</v>
      </c>
      <c r="B113">
        <v>36173</v>
      </c>
      <c r="D113">
        <v>7.9000000000000008E-3</v>
      </c>
      <c r="E113">
        <v>7.0000000000000001E-3</v>
      </c>
      <c r="F113">
        <v>6.0000000000000001E-3</v>
      </c>
      <c r="H113" t="s">
        <v>226</v>
      </c>
      <c r="I113" s="18">
        <v>36278</v>
      </c>
      <c r="J113" t="s">
        <v>164</v>
      </c>
      <c r="K113">
        <v>-9.7999999999999997E-3</v>
      </c>
      <c r="L113">
        <v>-5.7999999999999996E-3</v>
      </c>
      <c r="M113">
        <v>-2.4245362661989844E-14</v>
      </c>
      <c r="AC113" t="s">
        <v>224</v>
      </c>
      <c r="AD113" s="18">
        <v>36270</v>
      </c>
      <c r="AE113" s="19">
        <v>0.6875</v>
      </c>
      <c r="AF113">
        <v>0.17499999999999999</v>
      </c>
      <c r="AG113">
        <v>0.17499999999999999</v>
      </c>
      <c r="AH113">
        <v>0.158</v>
      </c>
      <c r="BL113" t="s">
        <v>210</v>
      </c>
      <c r="BM113" s="18">
        <v>36927</v>
      </c>
      <c r="BO113">
        <v>-2.4245362661989844E-14</v>
      </c>
      <c r="BP113">
        <v>-2.4245362661989844E-14</v>
      </c>
      <c r="BQ113">
        <v>4.5759999999999996</v>
      </c>
      <c r="BZ113" t="s">
        <v>226</v>
      </c>
      <c r="CA113" s="18">
        <v>36264</v>
      </c>
      <c r="CC113">
        <v>-0.40500000000000003</v>
      </c>
      <c r="CD113">
        <v>-0.44</v>
      </c>
      <c r="CE113">
        <v>-2.4245362661989844E-14</v>
      </c>
      <c r="CG113" t="s">
        <v>225</v>
      </c>
      <c r="CH113" s="18">
        <v>36243</v>
      </c>
      <c r="CJ113">
        <v>0.04</v>
      </c>
      <c r="CK113">
        <v>0.06</v>
      </c>
      <c r="CL113">
        <v>-2.4245362661989844E-14</v>
      </c>
      <c r="CN113" t="s">
        <v>226</v>
      </c>
      <c r="CO113" s="18">
        <v>36271</v>
      </c>
      <c r="CQ113">
        <v>-0.05</v>
      </c>
      <c r="CR113">
        <v>2.5000000000000001E-2</v>
      </c>
      <c r="CS113">
        <v>-2.4245362661989844E-14</v>
      </c>
      <c r="DW113" t="s">
        <v>223</v>
      </c>
      <c r="DX113" s="18">
        <v>36326</v>
      </c>
      <c r="DY113" t="s">
        <v>164</v>
      </c>
      <c r="DZ113">
        <v>0.09</v>
      </c>
      <c r="EA113">
        <v>0.09</v>
      </c>
      <c r="EB113">
        <v>8.4000000000000005E-2</v>
      </c>
      <c r="EK113" t="s">
        <v>225</v>
      </c>
      <c r="EL113" s="18">
        <v>36328</v>
      </c>
      <c r="EM113" t="s">
        <v>164</v>
      </c>
      <c r="EN113">
        <v>0.09</v>
      </c>
      <c r="EO113">
        <v>0.09</v>
      </c>
      <c r="EP113">
        <v>8.2000000000000003E-2</v>
      </c>
      <c r="EY113" t="s">
        <v>226</v>
      </c>
      <c r="EZ113" s="18">
        <v>36269</v>
      </c>
      <c r="FA113" t="s">
        <v>144</v>
      </c>
      <c r="FB113">
        <v>0.53</v>
      </c>
      <c r="FC113">
        <v>0.53</v>
      </c>
      <c r="FD113">
        <v>0.53</v>
      </c>
      <c r="FF113" t="s">
        <v>225</v>
      </c>
      <c r="FG113" s="18">
        <v>36377</v>
      </c>
      <c r="FI113">
        <v>9.5000000000000001E-2</v>
      </c>
      <c r="FJ113">
        <v>9.5000000000000001E-2</v>
      </c>
      <c r="FK113">
        <v>9.2999999999999999E-2</v>
      </c>
      <c r="FM113" t="s">
        <v>211</v>
      </c>
      <c r="FN113" s="18">
        <v>36817</v>
      </c>
      <c r="FP113">
        <v>0.66</v>
      </c>
      <c r="FQ113">
        <v>0.7</v>
      </c>
      <c r="FR113">
        <v>-2.4245362661989844E-14</v>
      </c>
      <c r="FT113" t="s">
        <v>224</v>
      </c>
      <c r="FU113" s="18">
        <v>36307</v>
      </c>
      <c r="FW113">
        <v>0.23</v>
      </c>
      <c r="FX113">
        <v>0.23</v>
      </c>
      <c r="FY113">
        <v>0.22</v>
      </c>
      <c r="GA113" t="s">
        <v>226</v>
      </c>
      <c r="GB113" s="18">
        <v>36271</v>
      </c>
      <c r="GD113">
        <v>0.21</v>
      </c>
      <c r="GE113">
        <v>0.23499999999999999</v>
      </c>
      <c r="GF113">
        <v>-2.4245362661989844E-14</v>
      </c>
    </row>
    <row r="114" spans="1:188" x14ac:dyDescent="0.3">
      <c r="A114" t="s">
        <v>227</v>
      </c>
      <c r="B114">
        <v>36082</v>
      </c>
      <c r="D114">
        <v>6.1000000000000004E-3</v>
      </c>
      <c r="E114">
        <v>6.1000000000000004E-3</v>
      </c>
      <c r="F114">
        <v>4.0000000000000001E-3</v>
      </c>
      <c r="H114" t="s">
        <v>227</v>
      </c>
      <c r="I114" s="18">
        <v>36186</v>
      </c>
      <c r="K114">
        <v>-3.5000000000000001E-3</v>
      </c>
      <c r="L114">
        <v>-3.5000000000000001E-3</v>
      </c>
      <c r="M114">
        <v>-2.4245362661989844E-14</v>
      </c>
      <c r="AC114" t="s">
        <v>225</v>
      </c>
      <c r="AD114" s="18">
        <v>36179</v>
      </c>
      <c r="AE114" s="19">
        <v>0.6875</v>
      </c>
      <c r="AF114">
        <v>0.18</v>
      </c>
      <c r="AG114">
        <v>0.1825</v>
      </c>
      <c r="AH114">
        <v>0.14499999999999999</v>
      </c>
      <c r="BL114" t="s">
        <v>274</v>
      </c>
      <c r="BM114" s="18">
        <v>36602</v>
      </c>
      <c r="BO114">
        <v>-2.4245362661989844E-14</v>
      </c>
      <c r="BP114">
        <v>6.0755999999999997</v>
      </c>
      <c r="BQ114">
        <v>5.97</v>
      </c>
      <c r="CG114" t="s">
        <v>227</v>
      </c>
      <c r="CH114" s="18">
        <v>36066</v>
      </c>
      <c r="CJ114">
        <v>-0.215</v>
      </c>
      <c r="CK114">
        <v>-0.21</v>
      </c>
      <c r="CL114">
        <v>-2.4245362661989844E-14</v>
      </c>
      <c r="DW114" t="s">
        <v>224</v>
      </c>
      <c r="DX114" s="18">
        <v>36230</v>
      </c>
      <c r="DY114" t="s">
        <v>164</v>
      </c>
      <c r="DZ114">
        <v>0.05</v>
      </c>
      <c r="EA114">
        <v>0.05</v>
      </c>
      <c r="EB114">
        <v>5.1999999999999998E-2</v>
      </c>
      <c r="EK114" t="s">
        <v>226</v>
      </c>
      <c r="EL114" s="18">
        <v>36237</v>
      </c>
      <c r="EN114">
        <v>7.4999999999999997E-2</v>
      </c>
      <c r="EO114">
        <v>7.4999999999999997E-2</v>
      </c>
      <c r="EP114">
        <v>6.5000000000000002E-2</v>
      </c>
      <c r="EY114" t="s">
        <v>227</v>
      </c>
      <c r="EZ114" s="18">
        <v>36188</v>
      </c>
      <c r="FB114">
        <v>0.5</v>
      </c>
      <c r="FC114">
        <v>0.5</v>
      </c>
      <c r="FD114">
        <v>0.51400000000000001</v>
      </c>
      <c r="FF114" t="s">
        <v>226</v>
      </c>
      <c r="FG114" s="18">
        <v>36286</v>
      </c>
      <c r="FH114" t="s">
        <v>144</v>
      </c>
      <c r="FI114">
        <v>0.09</v>
      </c>
      <c r="FJ114">
        <v>0.09</v>
      </c>
      <c r="FK114">
        <v>8.6999999999999994E-2</v>
      </c>
      <c r="FM114" t="s">
        <v>212</v>
      </c>
      <c r="FN114" s="18">
        <v>36726</v>
      </c>
      <c r="FO114" t="s">
        <v>144</v>
      </c>
      <c r="FP114">
        <v>0.85</v>
      </c>
      <c r="FQ114">
        <v>0.89</v>
      </c>
      <c r="FR114">
        <v>-2.4245362661989844E-14</v>
      </c>
      <c r="FT114" t="s">
        <v>225</v>
      </c>
      <c r="FU114" s="18">
        <v>36223</v>
      </c>
      <c r="FW114">
        <v>0.33</v>
      </c>
      <c r="FX114">
        <v>0.33</v>
      </c>
      <c r="FY114">
        <v>0.32</v>
      </c>
      <c r="GA114" t="s">
        <v>275</v>
      </c>
      <c r="GB114" s="18">
        <v>32870</v>
      </c>
      <c r="GD114">
        <v>9.2499999999999999E-2</v>
      </c>
      <c r="GE114">
        <v>9.2499999999999999E-2</v>
      </c>
      <c r="GF114">
        <v>-2.4245362661989844E-14</v>
      </c>
    </row>
    <row r="115" spans="1:188" x14ac:dyDescent="0.3">
      <c r="A115" t="s">
        <v>231</v>
      </c>
      <c r="B115">
        <v>35718</v>
      </c>
      <c r="D115">
        <v>-1.6999999999999999E-3</v>
      </c>
      <c r="E115">
        <v>-1.6999999999999999E-3</v>
      </c>
      <c r="F115">
        <v>-1E-3</v>
      </c>
      <c r="H115" t="s">
        <v>228</v>
      </c>
      <c r="I115" s="18">
        <v>36096</v>
      </c>
      <c r="K115">
        <v>-1.2999999999999999E-3</v>
      </c>
      <c r="L115">
        <v>-4.1000000000000003E-3</v>
      </c>
      <c r="M115">
        <v>-2.4245362661989844E-14</v>
      </c>
      <c r="AC115" t="s">
        <v>226</v>
      </c>
      <c r="AD115" s="18">
        <v>36088</v>
      </c>
      <c r="AF115">
        <v>0.14499999999999999</v>
      </c>
      <c r="AG115">
        <v>0.14000000000000001</v>
      </c>
      <c r="AH115">
        <v>0.124</v>
      </c>
      <c r="CG115" t="s">
        <v>228</v>
      </c>
      <c r="CH115" s="18">
        <v>35964</v>
      </c>
      <c r="CJ115">
        <v>-0.255</v>
      </c>
      <c r="CK115">
        <v>-0.22500000000000001</v>
      </c>
      <c r="CL115">
        <v>-2.4245362661989844E-14</v>
      </c>
      <c r="EY115" t="s">
        <v>228</v>
      </c>
      <c r="EZ115" s="18">
        <v>36089</v>
      </c>
      <c r="FB115">
        <v>0.53</v>
      </c>
      <c r="FC115">
        <v>0.53</v>
      </c>
      <c r="FD115">
        <v>0.50800000000000001</v>
      </c>
      <c r="FM115" t="s">
        <v>222</v>
      </c>
      <c r="FN115" s="18">
        <v>36635</v>
      </c>
      <c r="FP115">
        <v>1.06</v>
      </c>
      <c r="FQ115">
        <v>1.01</v>
      </c>
      <c r="FR115">
        <v>-2.4245362661989844E-14</v>
      </c>
      <c r="FT115" t="s">
        <v>226</v>
      </c>
      <c r="FU115" s="18">
        <v>36146</v>
      </c>
      <c r="FW115">
        <v>0.23</v>
      </c>
      <c r="FX115">
        <v>0.23</v>
      </c>
      <c r="FY115">
        <v>0.23200000000000001</v>
      </c>
      <c r="GA115" t="s">
        <v>276</v>
      </c>
      <c r="GB115" s="18">
        <v>32779</v>
      </c>
      <c r="GD115">
        <v>0.21249999999999999</v>
      </c>
      <c r="GE115">
        <v>0.21249999999999999</v>
      </c>
      <c r="GF115">
        <v>-2.4245362661989844E-14</v>
      </c>
    </row>
    <row r="116" spans="1:188" x14ac:dyDescent="0.3">
      <c r="A116" t="s">
        <v>246</v>
      </c>
      <c r="B116">
        <v>35627</v>
      </c>
      <c r="D116">
        <v>-3.8999999999999998E-3</v>
      </c>
      <c r="E116">
        <v>-3.8999999999999998E-3</v>
      </c>
      <c r="F116">
        <v>-5.0000000000000001E-3</v>
      </c>
      <c r="AC116" t="s">
        <v>230</v>
      </c>
      <c r="AD116" s="18">
        <v>35723</v>
      </c>
      <c r="AF116">
        <v>8.7499999999999994E-2</v>
      </c>
      <c r="AG116">
        <v>8.7499999999999994E-2</v>
      </c>
      <c r="AH116">
        <v>8.5999999999999993E-2</v>
      </c>
      <c r="CG116" t="s">
        <v>229</v>
      </c>
      <c r="CH116" s="18">
        <v>35870</v>
      </c>
      <c r="CJ116">
        <v>-0.155</v>
      </c>
      <c r="CK116">
        <v>-0.20499999999999999</v>
      </c>
      <c r="CL116">
        <v>-2.4245362661989844E-14</v>
      </c>
      <c r="EY116" t="s">
        <v>229</v>
      </c>
      <c r="EZ116" s="18">
        <v>35998</v>
      </c>
      <c r="FB116">
        <v>0.44</v>
      </c>
      <c r="FC116">
        <v>0.44</v>
      </c>
      <c r="FD116">
        <v>0.434</v>
      </c>
      <c r="FM116" t="s">
        <v>223</v>
      </c>
      <c r="FN116" s="18">
        <v>36544</v>
      </c>
      <c r="FP116">
        <v>1.0867</v>
      </c>
      <c r="FQ116">
        <v>1.0867</v>
      </c>
      <c r="FR116">
        <v>-2.4245362661989844E-14</v>
      </c>
      <c r="FT116" t="s">
        <v>231</v>
      </c>
      <c r="FU116" s="18">
        <v>35717</v>
      </c>
      <c r="FW116">
        <v>0.27</v>
      </c>
      <c r="FX116">
        <v>0.27</v>
      </c>
      <c r="FY116">
        <v>0.26100000000000001</v>
      </c>
      <c r="GA116" t="s">
        <v>277</v>
      </c>
      <c r="GB116" s="18">
        <v>32688</v>
      </c>
      <c r="GD116">
        <v>2.75E-2</v>
      </c>
      <c r="GE116">
        <v>2.75E-2</v>
      </c>
      <c r="GF116">
        <v>-2.4245362661989844E-14</v>
      </c>
    </row>
    <row r="117" spans="1:188" x14ac:dyDescent="0.3">
      <c r="A117" t="s">
        <v>247</v>
      </c>
      <c r="B117">
        <v>35536</v>
      </c>
      <c r="D117">
        <v>-1.32E-2</v>
      </c>
      <c r="E117">
        <v>-1.32E-2</v>
      </c>
      <c r="F117">
        <v>-0.01</v>
      </c>
      <c r="AC117" t="s">
        <v>244</v>
      </c>
      <c r="AD117" s="18">
        <v>34535</v>
      </c>
      <c r="AF117">
        <v>3.6900000000000002E-2</v>
      </c>
      <c r="AG117">
        <v>3.5000000000000003E-2</v>
      </c>
      <c r="AH117">
        <v>3.4000000000000002E-2</v>
      </c>
      <c r="CG117" t="s">
        <v>230</v>
      </c>
      <c r="CH117" s="18">
        <v>35779</v>
      </c>
      <c r="CJ117">
        <v>0.02</v>
      </c>
      <c r="CK117">
        <v>0.02</v>
      </c>
      <c r="CL117">
        <v>-2.4245362661989844E-14</v>
      </c>
      <c r="EY117" t="s">
        <v>230</v>
      </c>
      <c r="EZ117" s="18">
        <v>35905</v>
      </c>
      <c r="FB117">
        <v>0.47</v>
      </c>
      <c r="FC117">
        <v>0.47</v>
      </c>
      <c r="FD117">
        <v>0.46400000000000002</v>
      </c>
      <c r="FM117" t="s">
        <v>224</v>
      </c>
      <c r="FN117" s="18">
        <v>36453</v>
      </c>
      <c r="FO117" t="s">
        <v>144</v>
      </c>
      <c r="FP117">
        <v>0.8</v>
      </c>
      <c r="FQ117">
        <v>0.8</v>
      </c>
      <c r="FR117">
        <v>-2.4245362661989844E-14</v>
      </c>
      <c r="FT117" t="s">
        <v>244</v>
      </c>
      <c r="FU117" s="18">
        <v>34634</v>
      </c>
      <c r="FW117">
        <v>0.13500000000000001</v>
      </c>
      <c r="FX117">
        <v>0.13500000000000001</v>
      </c>
      <c r="FY117">
        <v>0.152</v>
      </c>
      <c r="GA117" t="s">
        <v>278</v>
      </c>
      <c r="GB117" s="18">
        <v>32597</v>
      </c>
      <c r="GD117">
        <v>0.35249999999999998</v>
      </c>
      <c r="GE117">
        <v>0.35249999999999998</v>
      </c>
      <c r="GF117">
        <v>-2.4245362661989844E-14</v>
      </c>
    </row>
    <row r="118" spans="1:188" x14ac:dyDescent="0.3">
      <c r="A118" t="s">
        <v>287</v>
      </c>
      <c r="B118">
        <v>35445</v>
      </c>
      <c r="D118">
        <v>-8.6E-3</v>
      </c>
      <c r="E118">
        <v>-8.6E-3</v>
      </c>
      <c r="F118">
        <v>-6.0000000000000001E-3</v>
      </c>
      <c r="AC118" t="s">
        <v>290</v>
      </c>
      <c r="AD118" s="18">
        <v>34442</v>
      </c>
      <c r="AF118">
        <v>2.6200000000000001E-2</v>
      </c>
      <c r="AG118">
        <v>2.63E-2</v>
      </c>
      <c r="AH118">
        <v>3.2000000000000001E-2</v>
      </c>
      <c r="CG118" t="s">
        <v>231</v>
      </c>
      <c r="CH118" s="18">
        <v>35695</v>
      </c>
      <c r="CJ118">
        <v>0.16500000000000001</v>
      </c>
      <c r="CK118">
        <v>0.16500000000000001</v>
      </c>
      <c r="CL118">
        <v>-2.4245362661989844E-14</v>
      </c>
      <c r="EY118" t="s">
        <v>246</v>
      </c>
      <c r="EZ118" s="18">
        <v>35723</v>
      </c>
      <c r="FA118" s="19">
        <v>0.30902777777777779</v>
      </c>
      <c r="FB118">
        <v>0.2</v>
      </c>
      <c r="FC118">
        <v>0.4</v>
      </c>
      <c r="FD118">
        <v>0.4</v>
      </c>
      <c r="FM118" t="s">
        <v>225</v>
      </c>
      <c r="FN118" s="18">
        <v>36362</v>
      </c>
      <c r="FP118">
        <v>-2.4245362661989844E-14</v>
      </c>
      <c r="FQ118">
        <v>0.90669999999999995</v>
      </c>
      <c r="FR118">
        <v>-2.4245362661989844E-14</v>
      </c>
      <c r="GA118" t="s">
        <v>279</v>
      </c>
      <c r="GB118" s="18">
        <v>32507</v>
      </c>
      <c r="GD118">
        <v>0.26500000000000001</v>
      </c>
      <c r="GE118">
        <v>0.26500000000000001</v>
      </c>
      <c r="GF118">
        <v>-2.4245362661989844E-14</v>
      </c>
    </row>
    <row r="119" spans="1:188" x14ac:dyDescent="0.3">
      <c r="A119" t="s">
        <v>249</v>
      </c>
      <c r="B119">
        <v>35263</v>
      </c>
      <c r="D119">
        <v>-2.3E-3</v>
      </c>
      <c r="E119">
        <v>-5.1999999999999998E-3</v>
      </c>
      <c r="F119">
        <v>-0.01</v>
      </c>
      <c r="AC119" t="s">
        <v>294</v>
      </c>
      <c r="AD119" s="18">
        <v>33983</v>
      </c>
      <c r="AF119">
        <v>2.4400000000000002E-2</v>
      </c>
      <c r="AG119">
        <v>2.4400000000000002E-2</v>
      </c>
      <c r="AH119">
        <v>2.4E-2</v>
      </c>
      <c r="CG119" t="s">
        <v>232</v>
      </c>
      <c r="CH119" s="18">
        <v>33872</v>
      </c>
      <c r="CJ119">
        <v>7.0000000000000001E-3</v>
      </c>
      <c r="CK119">
        <v>7.0000000000000001E-3</v>
      </c>
      <c r="CL119">
        <v>-2.4245362661989844E-14</v>
      </c>
      <c r="EY119" t="s">
        <v>247</v>
      </c>
      <c r="EZ119" s="18">
        <v>35634</v>
      </c>
      <c r="FB119">
        <v>-1.57</v>
      </c>
      <c r="FC119">
        <v>0.36</v>
      </c>
      <c r="FD119">
        <v>0.38</v>
      </c>
      <c r="FM119" t="s">
        <v>226</v>
      </c>
      <c r="FN119" s="18">
        <v>36270</v>
      </c>
      <c r="FP119">
        <v>-2.4245362661989844E-14</v>
      </c>
      <c r="FQ119">
        <v>0.86</v>
      </c>
      <c r="FR119">
        <v>-2.4245362661989844E-14</v>
      </c>
      <c r="GA119" t="s">
        <v>280</v>
      </c>
      <c r="GB119" s="18">
        <v>32416</v>
      </c>
      <c r="GD119">
        <v>0.23250000000000001</v>
      </c>
      <c r="GE119">
        <v>0.23250000000000001</v>
      </c>
      <c r="GF119">
        <v>-2.4245362661989844E-14</v>
      </c>
    </row>
    <row r="120" spans="1:188" x14ac:dyDescent="0.3">
      <c r="A120" t="s">
        <v>296</v>
      </c>
      <c r="B120">
        <v>35172</v>
      </c>
      <c r="D120">
        <v>-3.8600000000000002E-2</v>
      </c>
      <c r="E120">
        <v>-1.61E-2</v>
      </c>
      <c r="F120">
        <v>-1.7999999999999999E-2</v>
      </c>
      <c r="AC120" t="s">
        <v>295</v>
      </c>
      <c r="AD120" s="18">
        <v>33890</v>
      </c>
      <c r="AF120">
        <v>2.1899999999999999E-2</v>
      </c>
      <c r="AG120">
        <v>2.1899999999999999E-2</v>
      </c>
      <c r="AH120">
        <v>2.1000000000000001E-2</v>
      </c>
      <c r="CG120" t="s">
        <v>233</v>
      </c>
      <c r="CH120" s="18">
        <v>33774</v>
      </c>
      <c r="CJ120">
        <v>4.0000000000000001E-3</v>
      </c>
      <c r="CK120">
        <v>4.0000000000000001E-3</v>
      </c>
      <c r="CL120">
        <v>-2.4245362661989844E-14</v>
      </c>
      <c r="EY120" t="s">
        <v>287</v>
      </c>
      <c r="EZ120" s="18">
        <v>35541</v>
      </c>
      <c r="FB120">
        <v>0.41</v>
      </c>
      <c r="FC120">
        <v>0.4</v>
      </c>
      <c r="FD120">
        <v>0.40699999999999997</v>
      </c>
      <c r="FM120" t="s">
        <v>230</v>
      </c>
      <c r="FN120" s="18">
        <v>35906</v>
      </c>
      <c r="FP120">
        <v>-2.4245362661989844E-14</v>
      </c>
      <c r="FQ120">
        <v>-2.4245362661989844E-14</v>
      </c>
      <c r="FR120">
        <v>-2.4245362661989844E-14</v>
      </c>
      <c r="GA120" t="s">
        <v>281</v>
      </c>
      <c r="GB120" s="18">
        <v>32324</v>
      </c>
      <c r="GD120">
        <v>0.22500000000000001</v>
      </c>
      <c r="GE120">
        <v>0.22500000000000001</v>
      </c>
      <c r="GF120">
        <v>-2.4245362661989844E-14</v>
      </c>
    </row>
    <row r="121" spans="1:188" x14ac:dyDescent="0.3">
      <c r="A121" t="s">
        <v>235</v>
      </c>
      <c r="B121">
        <v>33619</v>
      </c>
      <c r="D121">
        <v>1.21E-2</v>
      </c>
      <c r="E121">
        <v>1.21E-2</v>
      </c>
      <c r="F121">
        <v>8.9999999999999993E-3</v>
      </c>
      <c r="AC121" t="s">
        <v>232</v>
      </c>
      <c r="AD121" s="18">
        <v>33785</v>
      </c>
      <c r="AF121">
        <v>2.1899999999999999E-2</v>
      </c>
      <c r="AG121">
        <v>2.2200000000000001E-2</v>
      </c>
      <c r="AH121">
        <v>2.1999999999999999E-2</v>
      </c>
      <c r="CG121" t="s">
        <v>234</v>
      </c>
      <c r="CH121" s="18">
        <v>33668</v>
      </c>
      <c r="CJ121">
        <v>4.0000000000000001E-3</v>
      </c>
      <c r="CK121">
        <v>4.0000000000000001E-3</v>
      </c>
      <c r="CL121">
        <v>-2.4245362661989844E-14</v>
      </c>
      <c r="EY121" t="s">
        <v>288</v>
      </c>
      <c r="EZ121" s="18">
        <v>35094</v>
      </c>
      <c r="FB121">
        <v>0.28499999999999998</v>
      </c>
      <c r="FC121">
        <v>0.28499999999999998</v>
      </c>
      <c r="FD121">
        <v>0.28799999999999998</v>
      </c>
      <c r="FM121" t="s">
        <v>246</v>
      </c>
      <c r="FN121" s="18">
        <v>35724</v>
      </c>
      <c r="FP121">
        <v>-2.4245362661989844E-14</v>
      </c>
      <c r="FQ121">
        <v>-2.4245362661989844E-14</v>
      </c>
      <c r="FR121">
        <v>-2.4245362661989844E-14</v>
      </c>
      <c r="GA121" t="s">
        <v>282</v>
      </c>
      <c r="GB121" s="18">
        <v>32233</v>
      </c>
      <c r="GD121">
        <v>0.26500000000000001</v>
      </c>
      <c r="GE121">
        <v>0.26500000000000001</v>
      </c>
      <c r="GF121">
        <v>-2.4245362661989844E-14</v>
      </c>
    </row>
    <row r="122" spans="1:188" x14ac:dyDescent="0.3">
      <c r="A122" t="s">
        <v>236</v>
      </c>
      <c r="B122">
        <v>33507</v>
      </c>
      <c r="D122">
        <v>6.0000000000000001E-3</v>
      </c>
      <c r="E122">
        <v>6.0000000000000001E-3</v>
      </c>
      <c r="F122">
        <v>6.0000000000000001E-3</v>
      </c>
      <c r="AC122" t="s">
        <v>233</v>
      </c>
      <c r="AD122" s="18">
        <v>33694</v>
      </c>
      <c r="AF122">
        <v>1.8700000000000001E-2</v>
      </c>
      <c r="AG122">
        <v>1.8800000000000001E-2</v>
      </c>
      <c r="AH122">
        <v>1.9E-2</v>
      </c>
      <c r="CG122" t="s">
        <v>235</v>
      </c>
      <c r="CH122" s="18">
        <v>33576</v>
      </c>
      <c r="CJ122">
        <v>2E-3</v>
      </c>
      <c r="CK122">
        <v>2E-3</v>
      </c>
      <c r="CL122">
        <v>-2.4245362661989844E-14</v>
      </c>
      <c r="EY122" t="s">
        <v>289</v>
      </c>
      <c r="EZ122" s="18">
        <v>34989</v>
      </c>
      <c r="FB122">
        <v>0.27</v>
      </c>
      <c r="FC122">
        <v>0.27</v>
      </c>
      <c r="FD122">
        <v>0.27200000000000002</v>
      </c>
      <c r="FM122" t="s">
        <v>247</v>
      </c>
      <c r="FN122" s="18">
        <v>35626</v>
      </c>
      <c r="FP122">
        <v>-2.4245362661989844E-14</v>
      </c>
      <c r="FQ122">
        <v>-2.4245362661989844E-14</v>
      </c>
      <c r="FR122">
        <v>-2.4245362661989844E-14</v>
      </c>
      <c r="GA122" t="s">
        <v>283</v>
      </c>
      <c r="GB122" s="18">
        <v>32141</v>
      </c>
      <c r="GD122">
        <v>0.28000000000000003</v>
      </c>
      <c r="GE122">
        <v>0.28000000000000003</v>
      </c>
      <c r="GF122">
        <v>-2.4245362661989844E-14</v>
      </c>
    </row>
    <row r="123" spans="1:188" x14ac:dyDescent="0.3">
      <c r="A123" t="s">
        <v>237</v>
      </c>
      <c r="B123">
        <v>33416</v>
      </c>
      <c r="D123">
        <v>-3.8999999999999998E-3</v>
      </c>
      <c r="E123">
        <v>-3.8999999999999998E-3</v>
      </c>
      <c r="F123">
        <v>6.0000000000000001E-3</v>
      </c>
      <c r="AC123" t="s">
        <v>234</v>
      </c>
      <c r="AD123" s="18">
        <v>33602</v>
      </c>
      <c r="AF123">
        <v>1.8700000000000001E-2</v>
      </c>
      <c r="AG123">
        <v>1.8800000000000001E-2</v>
      </c>
      <c r="AH123">
        <v>1.7999999999999999E-2</v>
      </c>
      <c r="CG123" t="s">
        <v>236</v>
      </c>
      <c r="CH123" s="18">
        <v>33478</v>
      </c>
      <c r="CJ123">
        <v>2.5000000000000001E-2</v>
      </c>
      <c r="CK123">
        <v>2.5000000000000001E-2</v>
      </c>
      <c r="CL123">
        <v>-2.4245362661989844E-14</v>
      </c>
      <c r="EY123" t="s">
        <v>244</v>
      </c>
      <c r="EZ123" s="18">
        <v>34744</v>
      </c>
      <c r="FB123">
        <v>0.23250000000000001</v>
      </c>
      <c r="FC123">
        <v>0.23250000000000001</v>
      </c>
      <c r="FD123">
        <v>0.26700000000000002</v>
      </c>
      <c r="FM123" t="s">
        <v>248</v>
      </c>
      <c r="FN123" s="18">
        <v>35451</v>
      </c>
      <c r="FP123">
        <v>-2.4245362661989844E-14</v>
      </c>
      <c r="FQ123">
        <v>-2.4245362661989844E-14</v>
      </c>
      <c r="FR123">
        <v>-2.4245362661989844E-14</v>
      </c>
      <c r="GA123" t="s">
        <v>284</v>
      </c>
      <c r="GB123" s="18">
        <v>32049</v>
      </c>
      <c r="GD123">
        <v>0.1875</v>
      </c>
      <c r="GE123">
        <v>0.1875</v>
      </c>
      <c r="GF123">
        <v>-2.4245362661989844E-14</v>
      </c>
    </row>
    <row r="124" spans="1:188" x14ac:dyDescent="0.3">
      <c r="A124" t="s">
        <v>238</v>
      </c>
      <c r="B124">
        <v>33324</v>
      </c>
      <c r="D124">
        <v>9.5999999999999992E-3</v>
      </c>
      <c r="E124">
        <v>9.5999999999999992E-3</v>
      </c>
      <c r="F124">
        <v>0.01</v>
      </c>
      <c r="AC124" t="s">
        <v>235</v>
      </c>
      <c r="AD124" s="18">
        <v>33510</v>
      </c>
      <c r="AF124">
        <v>1.5599999999999999E-2</v>
      </c>
      <c r="AG124">
        <v>1.5599999999999999E-2</v>
      </c>
      <c r="AH124">
        <v>1.4999999999999999E-2</v>
      </c>
      <c r="CG124" t="s">
        <v>237</v>
      </c>
      <c r="CH124" s="18">
        <v>33387</v>
      </c>
      <c r="CJ124">
        <v>1.7999999999999999E-2</v>
      </c>
      <c r="CK124">
        <v>1.7999999999999999E-2</v>
      </c>
      <c r="CL124">
        <v>-2.4245362661989844E-14</v>
      </c>
      <c r="EY124" t="s">
        <v>290</v>
      </c>
      <c r="EZ124" s="18">
        <v>34625</v>
      </c>
      <c r="FB124">
        <v>0.255</v>
      </c>
      <c r="FC124">
        <v>0.27500000000000002</v>
      </c>
      <c r="FD124">
        <v>0.28000000000000003</v>
      </c>
      <c r="FM124" t="s">
        <v>249</v>
      </c>
      <c r="FN124" s="18">
        <v>35353</v>
      </c>
      <c r="FP124">
        <v>-2.4245362661989844E-14</v>
      </c>
      <c r="FQ124">
        <v>-2.4245362661989844E-14</v>
      </c>
      <c r="FR124">
        <v>-2.4245362661989844E-14</v>
      </c>
      <c r="GA124" t="s">
        <v>285</v>
      </c>
      <c r="GB124" s="18">
        <v>31957</v>
      </c>
      <c r="GD124">
        <v>0.20250000000000001</v>
      </c>
      <c r="GE124">
        <v>0.20250000000000001</v>
      </c>
      <c r="GF124">
        <v>-2.4245362661989844E-14</v>
      </c>
    </row>
    <row r="125" spans="1:188" x14ac:dyDescent="0.3">
      <c r="A125" t="s">
        <v>239</v>
      </c>
      <c r="B125">
        <v>33234</v>
      </c>
      <c r="D125">
        <v>1.14E-2</v>
      </c>
      <c r="E125">
        <v>1.14E-2</v>
      </c>
      <c r="F125">
        <v>8.9999999999999993E-3</v>
      </c>
      <c r="AC125" t="s">
        <v>236</v>
      </c>
      <c r="AD125" s="18">
        <v>33416</v>
      </c>
      <c r="AF125">
        <v>1.52E-2</v>
      </c>
      <c r="AG125">
        <v>1.52E-2</v>
      </c>
      <c r="AH125">
        <v>1.4E-2</v>
      </c>
      <c r="CG125" t="s">
        <v>238</v>
      </c>
      <c r="CH125" s="18">
        <v>33296</v>
      </c>
      <c r="CJ125">
        <v>-6.0000000000000001E-3</v>
      </c>
      <c r="CK125">
        <v>-6.0000000000000001E-3</v>
      </c>
      <c r="CL125">
        <v>-2.4245362661989844E-14</v>
      </c>
      <c r="EY125" t="s">
        <v>291</v>
      </c>
      <c r="EZ125" s="18">
        <v>34530</v>
      </c>
      <c r="FB125">
        <v>0.27500000000000002</v>
      </c>
      <c r="FC125">
        <v>0.3</v>
      </c>
      <c r="FD125">
        <v>0.29599999999999999</v>
      </c>
      <c r="FM125" t="s">
        <v>250</v>
      </c>
      <c r="FN125" s="18">
        <v>35171</v>
      </c>
      <c r="FP125">
        <v>-2.4245362661989844E-14</v>
      </c>
      <c r="FQ125">
        <v>-2.4245362661989844E-14</v>
      </c>
      <c r="FR125">
        <v>-2.4245362661989844E-14</v>
      </c>
      <c r="GA125" t="s">
        <v>286</v>
      </c>
      <c r="GB125" s="18">
        <v>31866</v>
      </c>
      <c r="GD125">
        <v>0.1875</v>
      </c>
      <c r="GE125">
        <v>0.1875</v>
      </c>
      <c r="GF125">
        <v>-2.4245362661989844E-14</v>
      </c>
    </row>
    <row r="126" spans="1:188" x14ac:dyDescent="0.3">
      <c r="A126" t="s">
        <v>240</v>
      </c>
      <c r="B126">
        <v>33143</v>
      </c>
      <c r="D126">
        <v>7.1999999999999998E-3</v>
      </c>
      <c r="E126">
        <v>7.1999999999999998E-3</v>
      </c>
      <c r="F126">
        <v>7.0000000000000001E-3</v>
      </c>
      <c r="AC126" t="s">
        <v>237</v>
      </c>
      <c r="AD126" s="18">
        <v>33324</v>
      </c>
      <c r="AF126">
        <v>1.3599999999999999E-2</v>
      </c>
      <c r="AG126">
        <v>1.3599999999999999E-2</v>
      </c>
      <c r="AH126">
        <v>1.2999999999999999E-2</v>
      </c>
      <c r="CG126" t="s">
        <v>239</v>
      </c>
      <c r="CH126" s="18">
        <v>33205</v>
      </c>
      <c r="CJ126">
        <v>-2.5000000000000001E-2</v>
      </c>
      <c r="CK126">
        <v>-2.5000000000000001E-2</v>
      </c>
      <c r="CL126">
        <v>-2.4245362661989844E-14</v>
      </c>
      <c r="EY126" t="s">
        <v>292</v>
      </c>
      <c r="EZ126" s="18">
        <v>34442</v>
      </c>
      <c r="FA126" s="19">
        <v>0.46388888888888891</v>
      </c>
      <c r="FB126">
        <v>0.26</v>
      </c>
      <c r="FC126">
        <v>0.28499999999999998</v>
      </c>
      <c r="FD126">
        <v>0.31</v>
      </c>
    </row>
    <row r="127" spans="1:188" x14ac:dyDescent="0.3">
      <c r="A127" t="s">
        <v>241</v>
      </c>
      <c r="B127">
        <v>33052</v>
      </c>
      <c r="D127">
        <v>8.6E-3</v>
      </c>
      <c r="E127">
        <v>8.6E-3</v>
      </c>
      <c r="F127">
        <v>8.9999999999999993E-3</v>
      </c>
      <c r="AC127" t="s">
        <v>238</v>
      </c>
      <c r="AD127" s="18">
        <v>33237</v>
      </c>
      <c r="AF127">
        <v>1.26E-2</v>
      </c>
      <c r="AG127">
        <v>1.26E-2</v>
      </c>
      <c r="AH127">
        <v>1.0999999999999999E-2</v>
      </c>
      <c r="CG127" t="s">
        <v>240</v>
      </c>
      <c r="CH127" s="18">
        <v>33114</v>
      </c>
      <c r="CJ127">
        <v>8.0000000000000002E-3</v>
      </c>
      <c r="CK127">
        <v>8.0000000000000002E-3</v>
      </c>
      <c r="CL127">
        <v>-2.4245362661989844E-14</v>
      </c>
      <c r="EY127" t="s">
        <v>293</v>
      </c>
      <c r="EZ127" s="18">
        <v>34368</v>
      </c>
      <c r="FB127">
        <v>-0.39250000000000002</v>
      </c>
      <c r="FC127">
        <v>-0.4425</v>
      </c>
      <c r="FD127">
        <v>0.28299999999999997</v>
      </c>
    </row>
    <row r="128" spans="1:188" x14ac:dyDescent="0.3">
      <c r="A128" t="s">
        <v>242</v>
      </c>
      <c r="B128">
        <v>32961</v>
      </c>
      <c r="D128">
        <v>9.2999999999999992E-3</v>
      </c>
      <c r="E128">
        <v>9.2999999999999992E-3</v>
      </c>
      <c r="F128">
        <v>7.0000000000000001E-3</v>
      </c>
      <c r="AC128" t="s">
        <v>239</v>
      </c>
      <c r="AD128" s="18">
        <v>33143</v>
      </c>
      <c r="AF128">
        <v>9.9000000000000008E-3</v>
      </c>
      <c r="AG128">
        <v>9.9000000000000008E-3</v>
      </c>
      <c r="AH128">
        <v>8.9999999999999993E-3</v>
      </c>
      <c r="CG128" t="s">
        <v>241</v>
      </c>
      <c r="CH128" s="18">
        <v>33023</v>
      </c>
      <c r="CJ128">
        <v>5.0000000000000001E-3</v>
      </c>
      <c r="CK128">
        <v>5.0000000000000001E-3</v>
      </c>
      <c r="CL128">
        <v>-2.4245362661989844E-14</v>
      </c>
    </row>
    <row r="129" spans="1:90" x14ac:dyDescent="0.3">
      <c r="A129" t="s">
        <v>243</v>
      </c>
      <c r="B129">
        <v>32870</v>
      </c>
      <c r="D129">
        <v>8.6E-3</v>
      </c>
      <c r="E129">
        <v>8.6E-3</v>
      </c>
      <c r="F129">
        <v>0.01</v>
      </c>
      <c r="AC129" t="s">
        <v>240</v>
      </c>
      <c r="AD129" s="18">
        <v>33053</v>
      </c>
      <c r="AF129">
        <v>8.9999999999999993E-3</v>
      </c>
      <c r="AG129">
        <v>8.8999999999999999E-3</v>
      </c>
      <c r="AH129">
        <v>8.9999999999999993E-3</v>
      </c>
      <c r="CG129" t="s">
        <v>242</v>
      </c>
      <c r="CH129" s="18">
        <v>32932</v>
      </c>
      <c r="CJ129">
        <v>-2.4245362661989844E-14</v>
      </c>
      <c r="CK129">
        <v>0</v>
      </c>
      <c r="CL129">
        <v>-2.4245362661989844E-14</v>
      </c>
    </row>
    <row r="130" spans="1:90" x14ac:dyDescent="0.3">
      <c r="AC130" t="s">
        <v>241</v>
      </c>
      <c r="AD130" s="18">
        <v>32962</v>
      </c>
      <c r="AF130">
        <v>8.6E-3</v>
      </c>
      <c r="AG130">
        <v>8.6E-3</v>
      </c>
      <c r="AH130">
        <v>8.0000000000000002E-3</v>
      </c>
      <c r="CG130" t="s">
        <v>243</v>
      </c>
      <c r="CH130" s="18">
        <v>32841</v>
      </c>
      <c r="CJ130">
        <v>-2.4245362661989844E-14</v>
      </c>
      <c r="CK130">
        <v>0</v>
      </c>
      <c r="CL130">
        <v>-2.4245362661989844E-14</v>
      </c>
    </row>
    <row r="131" spans="1:90" x14ac:dyDescent="0.3">
      <c r="AC131" t="s">
        <v>242</v>
      </c>
      <c r="AD131" s="18">
        <v>32872</v>
      </c>
      <c r="AF131">
        <v>8.6999999999999994E-3</v>
      </c>
      <c r="AG131">
        <v>8.6999999999999994E-3</v>
      </c>
      <c r="AH131">
        <v>5.0000000000000001E-3</v>
      </c>
    </row>
    <row r="132" spans="1:90" x14ac:dyDescent="0.3">
      <c r="AC132" t="s">
        <v>243</v>
      </c>
      <c r="AD132" s="18">
        <v>32780</v>
      </c>
      <c r="AF132">
        <v>6.0000000000000001E-3</v>
      </c>
      <c r="AG132">
        <v>6.0000000000000001E-3</v>
      </c>
      <c r="AH132">
        <v>5.0000000000000001E-3</v>
      </c>
    </row>
    <row r="133" spans="1:90" x14ac:dyDescent="0.3">
      <c r="AC133" t="s">
        <v>275</v>
      </c>
      <c r="AD133" s="18">
        <v>32688</v>
      </c>
      <c r="AF133">
        <v>5.5999999999999999E-3</v>
      </c>
      <c r="AG133">
        <v>5.5999999999999999E-3</v>
      </c>
      <c r="AH133">
        <v>5.0000000000000001E-3</v>
      </c>
    </row>
    <row r="134" spans="1:90" x14ac:dyDescent="0.3">
      <c r="AC134" t="s">
        <v>276</v>
      </c>
      <c r="AD134" s="18">
        <v>32597</v>
      </c>
      <c r="AF134">
        <v>5.1000000000000004E-3</v>
      </c>
      <c r="AG134">
        <v>5.1000000000000004E-3</v>
      </c>
      <c r="AH134">
        <v>5.0000000000000001E-3</v>
      </c>
    </row>
    <row r="135" spans="1:90" x14ac:dyDescent="0.3">
      <c r="AC135" t="s">
        <v>277</v>
      </c>
      <c r="AD135" s="18">
        <v>32508</v>
      </c>
      <c r="AF135">
        <v>5.8999999999999999E-3</v>
      </c>
      <c r="AG135">
        <v>5.8999999999999999E-3</v>
      </c>
      <c r="AH135">
        <v>5.0000000000000001E-3</v>
      </c>
    </row>
    <row r="136" spans="1:90" x14ac:dyDescent="0.3">
      <c r="AC136" t="s">
        <v>278</v>
      </c>
      <c r="AD136" s="18">
        <v>32416</v>
      </c>
      <c r="AF136">
        <v>4.4999999999999997E-3</v>
      </c>
      <c r="AG136">
        <v>4.4999999999999997E-3</v>
      </c>
      <c r="AH136">
        <v>5.0000000000000001E-3</v>
      </c>
    </row>
    <row r="137" spans="1:90" x14ac:dyDescent="0.3">
      <c r="AC137" t="s">
        <v>279</v>
      </c>
      <c r="AD137" s="18">
        <v>32324</v>
      </c>
      <c r="AF137">
        <v>3.8E-3</v>
      </c>
      <c r="AG137">
        <v>3.8E-3</v>
      </c>
      <c r="AH137">
        <v>5.0000000000000001E-3</v>
      </c>
    </row>
    <row r="138" spans="1:90" x14ac:dyDescent="0.3">
      <c r="AC138" t="s">
        <v>280</v>
      </c>
      <c r="AD138" s="18">
        <v>32233</v>
      </c>
      <c r="AF138">
        <v>4.7000000000000002E-3</v>
      </c>
      <c r="AG138">
        <v>4.7000000000000002E-3</v>
      </c>
      <c r="AH138">
        <v>5.0000000000000001E-3</v>
      </c>
    </row>
    <row r="139" spans="1:90" x14ac:dyDescent="0.3">
      <c r="AC139" t="s">
        <v>281</v>
      </c>
      <c r="AD139" s="18">
        <v>32141</v>
      </c>
      <c r="AF139">
        <v>4.4000000000000003E-3</v>
      </c>
      <c r="AG139">
        <v>4.4000000000000003E-3</v>
      </c>
      <c r="AH139">
        <v>3.0000000000000001E-3</v>
      </c>
    </row>
    <row r="140" spans="1:90" x14ac:dyDescent="0.3">
      <c r="AC140" t="s">
        <v>282</v>
      </c>
      <c r="AD140" s="18">
        <v>32049</v>
      </c>
      <c r="AF140">
        <v>2.5999999999999999E-3</v>
      </c>
      <c r="AG140">
        <v>2.5999999999999999E-3</v>
      </c>
      <c r="AH140">
        <v>3.0000000000000001E-3</v>
      </c>
    </row>
    <row r="141" spans="1:90" x14ac:dyDescent="0.3">
      <c r="AC141" t="s">
        <v>283</v>
      </c>
      <c r="AD141" s="18">
        <v>31957</v>
      </c>
      <c r="AF141">
        <v>1.1000000000000001E-3</v>
      </c>
      <c r="AG141">
        <v>1.1000000000000001E-3</v>
      </c>
      <c r="AH141">
        <v>3.0000000000000001E-3</v>
      </c>
    </row>
    <row r="142" spans="1:90" x14ac:dyDescent="0.3">
      <c r="AC142" t="s">
        <v>284</v>
      </c>
      <c r="AD142" s="18">
        <v>31866</v>
      </c>
      <c r="AF142">
        <v>1.1999999999999999E-3</v>
      </c>
      <c r="AG142">
        <v>1.1999999999999999E-3</v>
      </c>
      <c r="AH142">
        <v>2E-3</v>
      </c>
    </row>
    <row r="143" spans="1:90" x14ac:dyDescent="0.3">
      <c r="AC143" t="s">
        <v>285</v>
      </c>
      <c r="AD143" s="18">
        <v>31776</v>
      </c>
      <c r="AF143">
        <v>1.1999999999999999E-3</v>
      </c>
      <c r="AG143">
        <v>1.1999999999999999E-3</v>
      </c>
      <c r="AH143">
        <v>2E-3</v>
      </c>
    </row>
    <row r="144" spans="1:90" x14ac:dyDescent="0.3">
      <c r="AC144" t="s">
        <v>286</v>
      </c>
      <c r="AD144" s="18">
        <v>31684</v>
      </c>
      <c r="AF144">
        <v>1E-3</v>
      </c>
      <c r="AG144">
        <v>1E-3</v>
      </c>
      <c r="AH144">
        <v>1E-3</v>
      </c>
    </row>
  </sheetData>
  <mergeCells count="27">
    <mergeCell ref="H1:M1"/>
    <mergeCell ref="AX1:BC1"/>
    <mergeCell ref="A1:F1"/>
    <mergeCell ref="BL1:BQ1"/>
    <mergeCell ref="CU1:CZ1"/>
    <mergeCell ref="GA1:GF1"/>
    <mergeCell ref="AC1:AH1"/>
    <mergeCell ref="CG1:CL1"/>
    <mergeCell ref="AQ1:AV1"/>
    <mergeCell ref="DP1:DU1"/>
    <mergeCell ref="BZ1:CE1"/>
    <mergeCell ref="ED1:EI1"/>
    <mergeCell ref="AJ1:AO1"/>
    <mergeCell ref="CN1:CS1"/>
    <mergeCell ref="DB1:DG1"/>
    <mergeCell ref="ER1:EW1"/>
    <mergeCell ref="FM1:FR1"/>
    <mergeCell ref="EK1:EP1"/>
    <mergeCell ref="FF1:FK1"/>
    <mergeCell ref="FT1:FY1"/>
    <mergeCell ref="EY1:FD1"/>
    <mergeCell ref="V1:AA1"/>
    <mergeCell ref="BE1:BJ1"/>
    <mergeCell ref="O1:T1"/>
    <mergeCell ref="DI1:DN1"/>
    <mergeCell ref="BS1:BX1"/>
    <mergeCell ref="DW1:EB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README</vt:lpstr>
      <vt:lpstr>Control</vt:lpstr>
      <vt:lpstr>Earnings_Data</vt:lpstr>
      <vt:lpstr>EarnField</vt:lpstr>
      <vt:lpstr>TkrSuffix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 Zhang</cp:lastModifiedBy>
  <dcterms:created xsi:type="dcterms:W3CDTF">2026-09-20T09:19:47Z</dcterms:created>
  <dcterms:modified xsi:type="dcterms:W3CDTF">2026-09-20T09:29:20Z</dcterms:modified>
</cp:coreProperties>
</file>